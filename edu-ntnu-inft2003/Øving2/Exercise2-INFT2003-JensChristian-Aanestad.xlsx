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9.xml" ContentType="application/vnd.openxmlformats-officedocument.drawingml.chart+xml"/>
  <Override PartName="/xl/drawings/drawing14.xml" ContentType="application/vnd.openxmlformats-officedocument.drawing+xml"/>
  <Override PartName="/xl/charts/chart20.xml" ContentType="application/vnd.openxmlformats-officedocument.drawingml.chart+xml"/>
  <Override PartName="/xl/drawings/drawing15.xml" ContentType="application/vnd.openxmlformats-officedocument.drawing+xml"/>
  <Override PartName="/xl/charts/chart21.xml" ContentType="application/vnd.openxmlformats-officedocument.drawingml.chart+xml"/>
  <Override PartName="/xl/drawings/drawing16.xml" ContentType="application/vnd.openxmlformats-officedocument.drawing+xml"/>
  <Override PartName="/xl/charts/chart2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mc:AlternateContent xmlns:mc="http://schemas.openxmlformats.org/markup-compatibility/2006">
    <mc:Choice Requires="x15">
      <x15ac:absPath xmlns:x15ac="http://schemas.microsoft.com/office/spreadsheetml/2010/11/ac" url="https://d.docs.live.net/68c899ae0d91d49b/SkoleMappe/Bach. DataIngeniør NTNU/5. Semester/INFT2003 (Big Data)/Øvinger/Øving2/"/>
    </mc:Choice>
  </mc:AlternateContent>
  <xr:revisionPtr revIDLastSave="1754" documentId="11_F25DC773A252ABDACC104812199C6C8E5BDE58F4" xr6:coauthVersionLast="47" xr6:coauthVersionMax="47" xr10:uidLastSave="{10627613-2678-414C-8A0D-E88E5C8EDD59}"/>
  <bookViews>
    <workbookView xWindow="-20610" yWindow="-120" windowWidth="20730" windowHeight="11040" firstSheet="11" activeTab="19" xr2:uid="{00000000-000D-0000-FFFF-FFFF00000000}"/>
  </bookViews>
  <sheets>
    <sheet name="Task1" sheetId="1" r:id="rId1"/>
    <sheet name="Task2" sheetId="2" r:id="rId2"/>
    <sheet name="Task3" sheetId="3" r:id="rId3"/>
    <sheet name="Task4 PivotTable" sheetId="13" state="hidden" r:id="rId4"/>
    <sheet name="Task4" sheetId="10" r:id="rId5"/>
    <sheet name="Task5" sheetId="14" r:id="rId6"/>
    <sheet name="Task6" sheetId="15" r:id="rId7"/>
    <sheet name="Task7a" sheetId="17" state="hidden" r:id="rId8"/>
    <sheet name="Task7b" sheetId="18" state="hidden" r:id="rId9"/>
    <sheet name="Task7c" sheetId="21" state="hidden" r:id="rId10"/>
    <sheet name="Task7" sheetId="16" r:id="rId11"/>
    <sheet name="Task8" sheetId="24" r:id="rId12"/>
    <sheet name="Task9" sheetId="25" r:id="rId13"/>
    <sheet name="Task10" sheetId="26" r:id="rId14"/>
    <sheet name="Task11" sheetId="27" r:id="rId15"/>
    <sheet name="Task12" sheetId="28" r:id="rId16"/>
    <sheet name="Task13" sheetId="29" r:id="rId17"/>
    <sheet name="Task14" sheetId="30" r:id="rId18"/>
    <sheet name="Task15" sheetId="31" r:id="rId19"/>
    <sheet name="Task16" sheetId="32" r:id="rId20"/>
    <sheet name="Task3 Gross sales" sheetId="8" state="hidden" r:id="rId21"/>
    <sheet name="Task3 Gross profit" sheetId="9" state="hidden" r:id="rId22"/>
    <sheet name="Task3 Automated Gross sales" sheetId="4" state="hidden" r:id="rId23"/>
    <sheet name="Task3 Automated Gross profit" sheetId="6" state="hidden" r:id="rId24"/>
  </sheets>
  <calcPr calcId="191029"/>
  <pivotCaches>
    <pivotCache cacheId="0" r:id="rId25"/>
    <pivotCache cacheId="1" r:id="rId2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5" l="1"/>
  <c r="I6" i="15"/>
  <c r="C347" i="25" a="1"/>
  <c r="C347" i="25" s="1"/>
  <c r="I8" i="15"/>
  <c r="D105" i="30" l="1"/>
  <c r="D106" i="30"/>
  <c r="C106" i="30"/>
  <c r="C105" i="30"/>
  <c r="C104" i="30"/>
  <c r="D104" i="30" s="1"/>
  <c r="G75" i="30"/>
  <c r="G74" i="30"/>
  <c r="G73" i="30"/>
  <c r="G72" i="30"/>
  <c r="G71" i="30"/>
  <c r="C34" i="28"/>
  <c r="B34" i="28"/>
  <c r="B33" i="28"/>
  <c r="D29" i="28"/>
  <c r="E29" i="28"/>
  <c r="F29" i="28"/>
  <c r="C29" i="28"/>
  <c r="B29" i="28"/>
  <c r="G17" i="28" s="1"/>
  <c r="C28" i="28"/>
  <c r="H8" i="28" s="1"/>
  <c r="D28" i="28"/>
  <c r="I8" i="28" s="1"/>
  <c r="E28" i="28"/>
  <c r="J22" i="28" s="1"/>
  <c r="F28" i="28"/>
  <c r="B28" i="28"/>
  <c r="I82" i="26"/>
  <c r="I81" i="26"/>
  <c r="I79" i="26"/>
  <c r="I78" i="26"/>
  <c r="I77" i="26"/>
  <c r="I76" i="26"/>
  <c r="I80" i="26"/>
  <c r="B347" i="25" a="1"/>
  <c r="B347" i="25" s="1"/>
  <c r="J89" i="26"/>
  <c r="I89" i="26"/>
  <c r="J88" i="26"/>
  <c r="I88" i="26"/>
  <c r="I70" i="26"/>
  <c r="I69" i="26"/>
  <c r="I68" i="26"/>
  <c r="I67" i="26"/>
  <c r="I66" i="26"/>
  <c r="I65" i="26"/>
  <c r="I64" i="26"/>
  <c r="I50" i="26"/>
  <c r="H50" i="26"/>
  <c r="I49" i="26"/>
  <c r="H49" i="26"/>
  <c r="I48" i="26"/>
  <c r="H48" i="26"/>
  <c r="I47" i="26"/>
  <c r="H47" i="26"/>
  <c r="I46" i="26"/>
  <c r="H46" i="26"/>
  <c r="I45" i="26"/>
  <c r="H45" i="26"/>
  <c r="I44" i="26"/>
  <c r="H44" i="26"/>
  <c r="I43" i="26"/>
  <c r="H43" i="26"/>
  <c r="I42" i="26"/>
  <c r="H42" i="26"/>
  <c r="I41" i="26"/>
  <c r="H41" i="26"/>
  <c r="I40" i="26"/>
  <c r="H40" i="26"/>
  <c r="I39" i="26"/>
  <c r="H39" i="26"/>
  <c r="I38" i="26"/>
  <c r="H38" i="26"/>
  <c r="I37" i="26"/>
  <c r="H37" i="26"/>
  <c r="I36" i="26"/>
  <c r="H36" i="26"/>
  <c r="I35" i="26"/>
  <c r="H35" i="26"/>
  <c r="I34" i="26"/>
  <c r="H34" i="26"/>
  <c r="I33" i="26"/>
  <c r="H33" i="26"/>
  <c r="I32" i="26"/>
  <c r="H32" i="26"/>
  <c r="I31" i="26"/>
  <c r="H31" i="26"/>
  <c r="I30" i="26"/>
  <c r="H30" i="26"/>
  <c r="I29" i="26"/>
  <c r="H29" i="26"/>
  <c r="I28" i="26"/>
  <c r="H28" i="26"/>
  <c r="I27" i="26"/>
  <c r="H27" i="26"/>
  <c r="I26" i="26"/>
  <c r="H26" i="26"/>
  <c r="I25" i="26"/>
  <c r="H25" i="26"/>
  <c r="I24" i="26"/>
  <c r="H24" i="26"/>
  <c r="I23" i="26"/>
  <c r="H23" i="26"/>
  <c r="I22" i="26"/>
  <c r="H22" i="26"/>
  <c r="I21" i="26"/>
  <c r="H21" i="26"/>
  <c r="I20" i="26"/>
  <c r="H20" i="26"/>
  <c r="I19" i="26"/>
  <c r="H19" i="26"/>
  <c r="I18" i="26"/>
  <c r="H18" i="26"/>
  <c r="I17" i="26"/>
  <c r="H17" i="26"/>
  <c r="I16" i="26"/>
  <c r="H16" i="26"/>
  <c r="I15" i="26"/>
  <c r="H15" i="26"/>
  <c r="I14" i="26"/>
  <c r="H14" i="26"/>
  <c r="I13" i="26"/>
  <c r="H13" i="26"/>
  <c r="I12" i="26"/>
  <c r="H12" i="26"/>
  <c r="I11" i="26"/>
  <c r="H11" i="26"/>
  <c r="I10" i="26"/>
  <c r="H10" i="26"/>
  <c r="I9" i="26"/>
  <c r="H9" i="26"/>
  <c r="I8" i="26"/>
  <c r="H8" i="26"/>
  <c r="I7" i="26"/>
  <c r="H7" i="26"/>
  <c r="D342" i="25"/>
  <c r="D341" i="25"/>
  <c r="H32" i="25" s="1"/>
  <c r="C342" i="25"/>
  <c r="G281" i="25" s="1"/>
  <c r="C341" i="25"/>
  <c r="C435" i="24" a="1"/>
  <c r="C435" i="24" s="1"/>
  <c r="C434" i="24" a="1"/>
  <c r="C434" i="24" s="1"/>
  <c r="C433" i="24"/>
  <c r="G24" i="28" l="1"/>
  <c r="K14" i="28"/>
  <c r="H7" i="28"/>
  <c r="G19" i="28"/>
  <c r="H19" i="28"/>
  <c r="H16" i="28"/>
  <c r="H24" i="28"/>
  <c r="G16" i="28"/>
  <c r="G27" i="28"/>
  <c r="J14" i="28"/>
  <c r="G8" i="28"/>
  <c r="G13" i="28"/>
  <c r="I22" i="28"/>
  <c r="H22" i="28"/>
  <c r="H11" i="28"/>
  <c r="H27" i="28"/>
  <c r="J11" i="28"/>
  <c r="G7" i="28"/>
  <c r="G21" i="28"/>
  <c r="G11" i="28"/>
  <c r="G22" i="28"/>
  <c r="I20" i="28"/>
  <c r="K18" i="28"/>
  <c r="H17" i="28"/>
  <c r="J15" i="28"/>
  <c r="G14" i="28"/>
  <c r="I12" i="28"/>
  <c r="K10" i="28"/>
  <c r="H9" i="28"/>
  <c r="I27" i="28"/>
  <c r="I19" i="28"/>
  <c r="K17" i="28"/>
  <c r="I11" i="28"/>
  <c r="J25" i="28"/>
  <c r="K20" i="28"/>
  <c r="K12" i="28"/>
  <c r="K26" i="28"/>
  <c r="H25" i="28"/>
  <c r="I23" i="28"/>
  <c r="G9" i="28"/>
  <c r="I7" i="28"/>
  <c r="I26" i="28"/>
  <c r="K24" i="28"/>
  <c r="H23" i="28"/>
  <c r="J21" i="28"/>
  <c r="G20" i="28"/>
  <c r="I18" i="28"/>
  <c r="K16" i="28"/>
  <c r="H15" i="28"/>
  <c r="J13" i="28"/>
  <c r="G12" i="28"/>
  <c r="I10" i="28"/>
  <c r="K8" i="28"/>
  <c r="I14" i="28"/>
  <c r="J9" i="28"/>
  <c r="I25" i="28"/>
  <c r="J20" i="28"/>
  <c r="K7" i="28"/>
  <c r="J23" i="28"/>
  <c r="J7" i="28"/>
  <c r="G25" i="28"/>
  <c r="H20" i="28"/>
  <c r="J18" i="28"/>
  <c r="I15" i="28"/>
  <c r="J10" i="28"/>
  <c r="K27" i="28"/>
  <c r="H26" i="28"/>
  <c r="J24" i="28"/>
  <c r="G23" i="28"/>
  <c r="I21" i="28"/>
  <c r="K19" i="28"/>
  <c r="H18" i="28"/>
  <c r="J16" i="28"/>
  <c r="G15" i="28"/>
  <c r="I13" i="28"/>
  <c r="K11" i="28"/>
  <c r="H10" i="28"/>
  <c r="J8" i="28"/>
  <c r="K25" i="28"/>
  <c r="K9" i="28"/>
  <c r="J17" i="28"/>
  <c r="K23" i="28"/>
  <c r="I17" i="28"/>
  <c r="K15" i="28"/>
  <c r="H14" i="28"/>
  <c r="J12" i="28"/>
  <c r="I9" i="28"/>
  <c r="J26" i="28"/>
  <c r="K21" i="28"/>
  <c r="K13" i="28"/>
  <c r="H12" i="28"/>
  <c r="J27" i="28"/>
  <c r="G26" i="28"/>
  <c r="I24" i="28"/>
  <c r="K22" i="28"/>
  <c r="H21" i="28"/>
  <c r="J19" i="28"/>
  <c r="G18" i="28"/>
  <c r="I16" i="28"/>
  <c r="H13" i="28"/>
  <c r="G10" i="28"/>
  <c r="L29" i="26"/>
  <c r="M44" i="26"/>
  <c r="I71" i="26"/>
  <c r="L36" i="26"/>
  <c r="L10" i="26"/>
  <c r="L17" i="26"/>
  <c r="M14" i="26"/>
  <c r="L13" i="26"/>
  <c r="M29" i="26"/>
  <c r="L49" i="26"/>
  <c r="M12" i="26"/>
  <c r="L45" i="26"/>
  <c r="L33" i="26"/>
  <c r="L41" i="26"/>
  <c r="L25" i="26"/>
  <c r="L9" i="26"/>
  <c r="M28" i="26"/>
  <c r="L40" i="26"/>
  <c r="L24" i="26"/>
  <c r="L8" i="26"/>
  <c r="M21" i="26"/>
  <c r="L39" i="26"/>
  <c r="L23" i="26"/>
  <c r="L7" i="26"/>
  <c r="M20" i="26"/>
  <c r="L37" i="26"/>
  <c r="L21" i="26"/>
  <c r="M45" i="26"/>
  <c r="M13" i="26"/>
  <c r="L48" i="26"/>
  <c r="L32" i="26"/>
  <c r="L16" i="26"/>
  <c r="M37" i="26"/>
  <c r="L47" i="26"/>
  <c r="L31" i="26"/>
  <c r="L15" i="26"/>
  <c r="M36" i="26"/>
  <c r="L46" i="26"/>
  <c r="L38" i="26"/>
  <c r="L30" i="26"/>
  <c r="L22" i="26"/>
  <c r="L14" i="26"/>
  <c r="M7" i="26"/>
  <c r="M43" i="26"/>
  <c r="M35" i="26"/>
  <c r="M27" i="26"/>
  <c r="M19" i="26"/>
  <c r="M11" i="26"/>
  <c r="M50" i="26"/>
  <c r="M42" i="26"/>
  <c r="M34" i="26"/>
  <c r="M26" i="26"/>
  <c r="M18" i="26"/>
  <c r="M10" i="26"/>
  <c r="L44" i="26"/>
  <c r="L28" i="26"/>
  <c r="L20" i="26"/>
  <c r="L12" i="26"/>
  <c r="M49" i="26"/>
  <c r="M41" i="26"/>
  <c r="M33" i="26"/>
  <c r="M25" i="26"/>
  <c r="M17" i="26"/>
  <c r="M9" i="26"/>
  <c r="L43" i="26"/>
  <c r="L35" i="26"/>
  <c r="L27" i="26"/>
  <c r="L19" i="26"/>
  <c r="L11" i="26"/>
  <c r="M48" i="26"/>
  <c r="M40" i="26"/>
  <c r="M32" i="26"/>
  <c r="M24" i="26"/>
  <c r="M16" i="26"/>
  <c r="M8" i="26"/>
  <c r="L50" i="26"/>
  <c r="L42" i="26"/>
  <c r="L34" i="26"/>
  <c r="L26" i="26"/>
  <c r="L18" i="26"/>
  <c r="M47" i="26"/>
  <c r="M39" i="26"/>
  <c r="M31" i="26"/>
  <c r="M23" i="26"/>
  <c r="M15" i="26"/>
  <c r="M46" i="26"/>
  <c r="M38" i="26"/>
  <c r="M30" i="26"/>
  <c r="M22" i="26"/>
  <c r="G9" i="25"/>
  <c r="G302" i="25"/>
  <c r="G260" i="25"/>
  <c r="G312" i="25"/>
  <c r="G259" i="25"/>
  <c r="G216" i="25"/>
  <c r="G180" i="25"/>
  <c r="G155" i="25"/>
  <c r="G102" i="25"/>
  <c r="G91" i="25"/>
  <c r="G65" i="25"/>
  <c r="G52" i="25"/>
  <c r="G27" i="25"/>
  <c r="G13" i="25"/>
  <c r="H333" i="25"/>
  <c r="H319" i="25"/>
  <c r="H303" i="25"/>
  <c r="H287" i="25"/>
  <c r="H271" i="25"/>
  <c r="H249" i="25"/>
  <c r="H231" i="25"/>
  <c r="H200" i="25"/>
  <c r="H168" i="25"/>
  <c r="H136" i="25"/>
  <c r="H104" i="25"/>
  <c r="H72" i="25"/>
  <c r="H40" i="25"/>
  <c r="G332" i="25"/>
  <c r="G321" i="25"/>
  <c r="G310" i="25"/>
  <c r="G300" i="25"/>
  <c r="G289" i="25"/>
  <c r="G278" i="25"/>
  <c r="G268" i="25"/>
  <c r="G257" i="25"/>
  <c r="G246" i="25"/>
  <c r="G236" i="25"/>
  <c r="G225" i="25"/>
  <c r="G214" i="25"/>
  <c r="G204" i="25"/>
  <c r="G190" i="25"/>
  <c r="G179" i="25"/>
  <c r="G165" i="25"/>
  <c r="G153" i="25"/>
  <c r="G140" i="25"/>
  <c r="G126" i="25"/>
  <c r="G115" i="25"/>
  <c r="G101" i="25"/>
  <c r="G89" i="25"/>
  <c r="G76" i="25"/>
  <c r="G62" i="25"/>
  <c r="G51" i="25"/>
  <c r="G37" i="25"/>
  <c r="G25" i="25"/>
  <c r="G12" i="25"/>
  <c r="H330" i="25"/>
  <c r="H314" i="25"/>
  <c r="H298" i="25"/>
  <c r="H282" i="25"/>
  <c r="H266" i="25"/>
  <c r="H248" i="25"/>
  <c r="H225" i="25"/>
  <c r="H199" i="25"/>
  <c r="H167" i="25"/>
  <c r="H135" i="25"/>
  <c r="H103" i="25"/>
  <c r="H71" i="25"/>
  <c r="H39" i="25"/>
  <c r="G331" i="25"/>
  <c r="G320" i="25"/>
  <c r="G309" i="25"/>
  <c r="G299" i="25"/>
  <c r="G288" i="25"/>
  <c r="G277" i="25"/>
  <c r="G267" i="25"/>
  <c r="G256" i="25"/>
  <c r="G245" i="25"/>
  <c r="G235" i="25"/>
  <c r="G224" i="25"/>
  <c r="G213" i="25"/>
  <c r="G203" i="25"/>
  <c r="G189" i="25"/>
  <c r="G177" i="25"/>
  <c r="G164" i="25"/>
  <c r="G150" i="25"/>
  <c r="G139" i="25"/>
  <c r="G125" i="25"/>
  <c r="G113" i="25"/>
  <c r="G100" i="25"/>
  <c r="G86" i="25"/>
  <c r="G75" i="25"/>
  <c r="G61" i="25"/>
  <c r="G49" i="25"/>
  <c r="G36" i="25"/>
  <c r="G22" i="25"/>
  <c r="G11" i="25"/>
  <c r="H329" i="25"/>
  <c r="H313" i="25"/>
  <c r="H297" i="25"/>
  <c r="H281" i="25"/>
  <c r="H265" i="25"/>
  <c r="H247" i="25"/>
  <c r="H224" i="25"/>
  <c r="H192" i="25"/>
  <c r="H160" i="25"/>
  <c r="H128" i="25"/>
  <c r="H96" i="25"/>
  <c r="H64" i="25"/>
  <c r="H8" i="25"/>
  <c r="H9" i="25"/>
  <c r="H17" i="25"/>
  <c r="H25" i="25"/>
  <c r="H33" i="25"/>
  <c r="H41" i="25"/>
  <c r="H49" i="25"/>
  <c r="H57" i="25"/>
  <c r="H65" i="25"/>
  <c r="H73" i="25"/>
  <c r="H81" i="25"/>
  <c r="H89" i="25"/>
  <c r="H97" i="25"/>
  <c r="H105" i="25"/>
  <c r="H113" i="25"/>
  <c r="H121" i="25"/>
  <c r="H129" i="25"/>
  <c r="H137" i="25"/>
  <c r="H145" i="25"/>
  <c r="H153" i="25"/>
  <c r="H161" i="25"/>
  <c r="H169" i="25"/>
  <c r="H177" i="25"/>
  <c r="H185" i="25"/>
  <c r="H193" i="25"/>
  <c r="H201" i="25"/>
  <c r="H209" i="25"/>
  <c r="H217" i="25"/>
  <c r="H10" i="25"/>
  <c r="H18" i="25"/>
  <c r="H26" i="25"/>
  <c r="H34" i="25"/>
  <c r="H42" i="25"/>
  <c r="H50" i="25"/>
  <c r="H58" i="25"/>
  <c r="H66" i="25"/>
  <c r="H74" i="25"/>
  <c r="H82" i="25"/>
  <c r="H90" i="25"/>
  <c r="H98" i="25"/>
  <c r="H106" i="25"/>
  <c r="H114" i="25"/>
  <c r="H122" i="25"/>
  <c r="H130" i="25"/>
  <c r="H138" i="25"/>
  <c r="H146" i="25"/>
  <c r="H154" i="25"/>
  <c r="H162" i="25"/>
  <c r="H170" i="25"/>
  <c r="H178" i="25"/>
  <c r="H186" i="25"/>
  <c r="H194" i="25"/>
  <c r="H202" i="25"/>
  <c r="H210" i="25"/>
  <c r="H218" i="25"/>
  <c r="H226" i="25"/>
  <c r="H234" i="25"/>
  <c r="H242" i="25"/>
  <c r="H250" i="25"/>
  <c r="H258" i="25"/>
  <c r="H11" i="25"/>
  <c r="H19" i="25"/>
  <c r="H27" i="25"/>
  <c r="H35" i="25"/>
  <c r="H43" i="25"/>
  <c r="H51" i="25"/>
  <c r="H59" i="25"/>
  <c r="H67" i="25"/>
  <c r="H75" i="25"/>
  <c r="H83" i="25"/>
  <c r="H91" i="25"/>
  <c r="H99" i="25"/>
  <c r="H107" i="25"/>
  <c r="H115" i="25"/>
  <c r="H123" i="25"/>
  <c r="H131" i="25"/>
  <c r="H139" i="25"/>
  <c r="H147" i="25"/>
  <c r="H155" i="25"/>
  <c r="H163" i="25"/>
  <c r="H171" i="25"/>
  <c r="H179" i="25"/>
  <c r="H187" i="25"/>
  <c r="H195" i="25"/>
  <c r="H203" i="25"/>
  <c r="H211" i="25"/>
  <c r="H219" i="25"/>
  <c r="H227" i="25"/>
  <c r="H235" i="25"/>
  <c r="H243" i="25"/>
  <c r="H251" i="25"/>
  <c r="H259" i="25"/>
  <c r="H267" i="25"/>
  <c r="H275" i="25"/>
  <c r="H283" i="25"/>
  <c r="H291" i="25"/>
  <c r="H299" i="25"/>
  <c r="H307" i="25"/>
  <c r="H315" i="25"/>
  <c r="H323" i="25"/>
  <c r="H331" i="25"/>
  <c r="H12" i="25"/>
  <c r="H20" i="25"/>
  <c r="H28" i="25"/>
  <c r="H36" i="25"/>
  <c r="H44" i="25"/>
  <c r="H52" i="25"/>
  <c r="H60" i="25"/>
  <c r="H68" i="25"/>
  <c r="H76" i="25"/>
  <c r="H84" i="25"/>
  <c r="H92" i="25"/>
  <c r="H100" i="25"/>
  <c r="H108" i="25"/>
  <c r="H116" i="25"/>
  <c r="H124" i="25"/>
  <c r="H132" i="25"/>
  <c r="H140" i="25"/>
  <c r="H148" i="25"/>
  <c r="H156" i="25"/>
  <c r="H164" i="25"/>
  <c r="H172" i="25"/>
  <c r="H180" i="25"/>
  <c r="H188" i="25"/>
  <c r="H196" i="25"/>
  <c r="H204" i="25"/>
  <c r="H212" i="25"/>
  <c r="H220" i="25"/>
  <c r="H228" i="25"/>
  <c r="H236" i="25"/>
  <c r="H244" i="25"/>
  <c r="H252" i="25"/>
  <c r="H260" i="25"/>
  <c r="H268" i="25"/>
  <c r="H276" i="25"/>
  <c r="H284" i="25"/>
  <c r="H292" i="25"/>
  <c r="H300" i="25"/>
  <c r="H308" i="25"/>
  <c r="H316" i="25"/>
  <c r="H324" i="25"/>
  <c r="H332" i="25"/>
  <c r="H13" i="25"/>
  <c r="H21" i="25"/>
  <c r="H29" i="25"/>
  <c r="H37" i="25"/>
  <c r="H45" i="25"/>
  <c r="H53" i="25"/>
  <c r="H61" i="25"/>
  <c r="H69" i="25"/>
  <c r="H77" i="25"/>
  <c r="H85" i="25"/>
  <c r="H93" i="25"/>
  <c r="H101" i="25"/>
  <c r="H109" i="25"/>
  <c r="H117" i="25"/>
  <c r="H125" i="25"/>
  <c r="H133" i="25"/>
  <c r="H141" i="25"/>
  <c r="H149" i="25"/>
  <c r="H157" i="25"/>
  <c r="H165" i="25"/>
  <c r="H173" i="25"/>
  <c r="H181" i="25"/>
  <c r="H189" i="25"/>
  <c r="H197" i="25"/>
  <c r="H205" i="25"/>
  <c r="H213" i="25"/>
  <c r="H221" i="25"/>
  <c r="H229" i="25"/>
  <c r="H237" i="25"/>
  <c r="H245" i="25"/>
  <c r="H253" i="25"/>
  <c r="H261" i="25"/>
  <c r="H269" i="25"/>
  <c r="H277" i="25"/>
  <c r="H285" i="25"/>
  <c r="H293" i="25"/>
  <c r="H301" i="25"/>
  <c r="H309" i="25"/>
  <c r="H317" i="25"/>
  <c r="H325" i="25"/>
  <c r="H14" i="25"/>
  <c r="H22" i="25"/>
  <c r="H30" i="25"/>
  <c r="H38" i="25"/>
  <c r="H46" i="25"/>
  <c r="H54" i="25"/>
  <c r="H62" i="25"/>
  <c r="H70" i="25"/>
  <c r="H78" i="25"/>
  <c r="H86" i="25"/>
  <c r="H94" i="25"/>
  <c r="H102" i="25"/>
  <c r="H110" i="25"/>
  <c r="H118" i="25"/>
  <c r="H126" i="25"/>
  <c r="H134" i="25"/>
  <c r="H142" i="25"/>
  <c r="H150" i="25"/>
  <c r="H158" i="25"/>
  <c r="H166" i="25"/>
  <c r="H174" i="25"/>
  <c r="H182" i="25"/>
  <c r="H190" i="25"/>
  <c r="H198" i="25"/>
  <c r="H206" i="25"/>
  <c r="H214" i="25"/>
  <c r="H222" i="25"/>
  <c r="H230" i="25"/>
  <c r="H238" i="25"/>
  <c r="H246" i="25"/>
  <c r="H254" i="25"/>
  <c r="H262" i="25"/>
  <c r="H270" i="25"/>
  <c r="H278" i="25"/>
  <c r="H286" i="25"/>
  <c r="H294" i="25"/>
  <c r="H302" i="25"/>
  <c r="H310" i="25"/>
  <c r="H318" i="25"/>
  <c r="H326" i="25"/>
  <c r="H334" i="25"/>
  <c r="G329" i="25"/>
  <c r="G318" i="25"/>
  <c r="G308" i="25"/>
  <c r="G297" i="25"/>
  <c r="G286" i="25"/>
  <c r="G276" i="25"/>
  <c r="G265" i="25"/>
  <c r="G254" i="25"/>
  <c r="G244" i="25"/>
  <c r="G233" i="25"/>
  <c r="G222" i="25"/>
  <c r="G212" i="25"/>
  <c r="G201" i="25"/>
  <c r="G188" i="25"/>
  <c r="G174" i="25"/>
  <c r="G163" i="25"/>
  <c r="G149" i="25"/>
  <c r="G137" i="25"/>
  <c r="G124" i="25"/>
  <c r="G110" i="25"/>
  <c r="G99" i="25"/>
  <c r="G85" i="25"/>
  <c r="G73" i="25"/>
  <c r="G60" i="25"/>
  <c r="G46" i="25"/>
  <c r="G35" i="25"/>
  <c r="G21" i="25"/>
  <c r="H328" i="25"/>
  <c r="H312" i="25"/>
  <c r="H296" i="25"/>
  <c r="H280" i="25"/>
  <c r="H264" i="25"/>
  <c r="H241" i="25"/>
  <c r="H223" i="25"/>
  <c r="H191" i="25"/>
  <c r="H159" i="25"/>
  <c r="H127" i="25"/>
  <c r="H95" i="25"/>
  <c r="H63" i="25"/>
  <c r="H31" i="25"/>
  <c r="G334" i="25"/>
  <c r="G270" i="25"/>
  <c r="G333" i="25"/>
  <c r="G280" i="25"/>
  <c r="G227" i="25"/>
  <c r="G129" i="25"/>
  <c r="G7" i="25"/>
  <c r="G15" i="25"/>
  <c r="G23" i="25"/>
  <c r="G31" i="25"/>
  <c r="G39" i="25"/>
  <c r="G47" i="25"/>
  <c r="G55" i="25"/>
  <c r="G63" i="25"/>
  <c r="G71" i="25"/>
  <c r="G79" i="25"/>
  <c r="G87" i="25"/>
  <c r="G95" i="25"/>
  <c r="G103" i="25"/>
  <c r="G111" i="25"/>
  <c r="G119" i="25"/>
  <c r="G127" i="25"/>
  <c r="G135" i="25"/>
  <c r="G143" i="25"/>
  <c r="G151" i="25"/>
  <c r="G159" i="25"/>
  <c r="G167" i="25"/>
  <c r="G175" i="25"/>
  <c r="G183" i="25"/>
  <c r="G191" i="25"/>
  <c r="G199" i="25"/>
  <c r="G207" i="25"/>
  <c r="G215" i="25"/>
  <c r="G223" i="25"/>
  <c r="G231" i="25"/>
  <c r="G239" i="25"/>
  <c r="G247" i="25"/>
  <c r="G255" i="25"/>
  <c r="G263" i="25"/>
  <c r="G271" i="25"/>
  <c r="G279" i="25"/>
  <c r="G287" i="25"/>
  <c r="G295" i="25"/>
  <c r="G303" i="25"/>
  <c r="G311" i="25"/>
  <c r="G319" i="25"/>
  <c r="G327" i="25"/>
  <c r="G335" i="25"/>
  <c r="G160" i="25"/>
  <c r="G184" i="25"/>
  <c r="G8" i="25"/>
  <c r="G16" i="25"/>
  <c r="G24" i="25"/>
  <c r="G32" i="25"/>
  <c r="G40" i="25"/>
  <c r="G48" i="25"/>
  <c r="G56" i="25"/>
  <c r="G64" i="25"/>
  <c r="G72" i="25"/>
  <c r="G80" i="25"/>
  <c r="G88" i="25"/>
  <c r="G96" i="25"/>
  <c r="G104" i="25"/>
  <c r="G112" i="25"/>
  <c r="G120" i="25"/>
  <c r="G128" i="25"/>
  <c r="G136" i="25"/>
  <c r="G144" i="25"/>
  <c r="G152" i="25"/>
  <c r="G168" i="25"/>
  <c r="G176" i="25"/>
  <c r="G192" i="25"/>
  <c r="G200" i="25"/>
  <c r="G10" i="25"/>
  <c r="G18" i="25"/>
  <c r="G26" i="25"/>
  <c r="G34" i="25"/>
  <c r="G42" i="25"/>
  <c r="G50" i="25"/>
  <c r="G58" i="25"/>
  <c r="G66" i="25"/>
  <c r="G74" i="25"/>
  <c r="G82" i="25"/>
  <c r="G90" i="25"/>
  <c r="G98" i="25"/>
  <c r="G106" i="25"/>
  <c r="G114" i="25"/>
  <c r="G122" i="25"/>
  <c r="G130" i="25"/>
  <c r="G138" i="25"/>
  <c r="G146" i="25"/>
  <c r="G154" i="25"/>
  <c r="G162" i="25"/>
  <c r="G170" i="25"/>
  <c r="G178" i="25"/>
  <c r="G186" i="25"/>
  <c r="G194" i="25"/>
  <c r="G202" i="25"/>
  <c r="G210" i="25"/>
  <c r="G218" i="25"/>
  <c r="G226" i="25"/>
  <c r="G234" i="25"/>
  <c r="G242" i="25"/>
  <c r="G250" i="25"/>
  <c r="G258" i="25"/>
  <c r="G266" i="25"/>
  <c r="G274" i="25"/>
  <c r="G282" i="25"/>
  <c r="G290" i="25"/>
  <c r="G298" i="25"/>
  <c r="G306" i="25"/>
  <c r="G314" i="25"/>
  <c r="G322" i="25"/>
  <c r="G330" i="25"/>
  <c r="G328" i="25"/>
  <c r="G317" i="25"/>
  <c r="G307" i="25"/>
  <c r="G296" i="25"/>
  <c r="G285" i="25"/>
  <c r="G275" i="25"/>
  <c r="G264" i="25"/>
  <c r="G253" i="25"/>
  <c r="G243" i="25"/>
  <c r="G232" i="25"/>
  <c r="G221" i="25"/>
  <c r="G211" i="25"/>
  <c r="G198" i="25"/>
  <c r="G187" i="25"/>
  <c r="G173" i="25"/>
  <c r="G161" i="25"/>
  <c r="G148" i="25"/>
  <c r="G134" i="25"/>
  <c r="G123" i="25"/>
  <c r="G109" i="25"/>
  <c r="G97" i="25"/>
  <c r="G84" i="25"/>
  <c r="G70" i="25"/>
  <c r="G59" i="25"/>
  <c r="G45" i="25"/>
  <c r="G33" i="25"/>
  <c r="G20" i="25"/>
  <c r="H7" i="25"/>
  <c r="H327" i="25"/>
  <c r="H311" i="25"/>
  <c r="H295" i="25"/>
  <c r="H279" i="25"/>
  <c r="H263" i="25"/>
  <c r="H240" i="25"/>
  <c r="H216" i="25"/>
  <c r="H184" i="25"/>
  <c r="H152" i="25"/>
  <c r="H120" i="25"/>
  <c r="H88" i="25"/>
  <c r="H56" i="25"/>
  <c r="H24" i="25"/>
  <c r="G292" i="25"/>
  <c r="G323" i="25"/>
  <c r="G301" i="25"/>
  <c r="G269" i="25"/>
  <c r="G237" i="25"/>
  <c r="G193" i="25"/>
  <c r="G141" i="25"/>
  <c r="G77" i="25"/>
  <c r="G337" i="25"/>
  <c r="G316" i="25"/>
  <c r="G294" i="25"/>
  <c r="G273" i="25"/>
  <c r="G252" i="25"/>
  <c r="G220" i="25"/>
  <c r="G185" i="25"/>
  <c r="G158" i="25"/>
  <c r="G133" i="25"/>
  <c r="G108" i="25"/>
  <c r="G83" i="25"/>
  <c r="G57" i="25"/>
  <c r="G44" i="25"/>
  <c r="G30" i="25"/>
  <c r="G19" i="25"/>
  <c r="H322" i="25"/>
  <c r="H306" i="25"/>
  <c r="H290" i="25"/>
  <c r="H274" i="25"/>
  <c r="H257" i="25"/>
  <c r="H239" i="25"/>
  <c r="H215" i="25"/>
  <c r="H183" i="25"/>
  <c r="H151" i="25"/>
  <c r="H119" i="25"/>
  <c r="H87" i="25"/>
  <c r="H55" i="25"/>
  <c r="H23" i="25"/>
  <c r="G313" i="25"/>
  <c r="G249" i="25"/>
  <c r="G291" i="25"/>
  <c r="G248" i="25"/>
  <c r="G205" i="25"/>
  <c r="G166" i="25"/>
  <c r="G116" i="25"/>
  <c r="G38" i="25"/>
  <c r="G326" i="25"/>
  <c r="G305" i="25"/>
  <c r="G284" i="25"/>
  <c r="G262" i="25"/>
  <c r="G241" i="25"/>
  <c r="G230" i="25"/>
  <c r="G209" i="25"/>
  <c r="G197" i="25"/>
  <c r="G172" i="25"/>
  <c r="G147" i="25"/>
  <c r="G121" i="25"/>
  <c r="G94" i="25"/>
  <c r="G69" i="25"/>
  <c r="H337" i="25"/>
  <c r="G336" i="25"/>
  <c r="G325" i="25"/>
  <c r="G315" i="25"/>
  <c r="G304" i="25"/>
  <c r="G293" i="25"/>
  <c r="G283" i="25"/>
  <c r="G272" i="25"/>
  <c r="G261" i="25"/>
  <c r="G251" i="25"/>
  <c r="G240" i="25"/>
  <c r="G229" i="25"/>
  <c r="G219" i="25"/>
  <c r="G208" i="25"/>
  <c r="G196" i="25"/>
  <c r="G182" i="25"/>
  <c r="G171" i="25"/>
  <c r="G157" i="25"/>
  <c r="G145" i="25"/>
  <c r="G132" i="25"/>
  <c r="G118" i="25"/>
  <c r="G107" i="25"/>
  <c r="G93" i="25"/>
  <c r="G81" i="25"/>
  <c r="G68" i="25"/>
  <c r="G54" i="25"/>
  <c r="G43" i="25"/>
  <c r="G29" i="25"/>
  <c r="G17" i="25"/>
  <c r="H336" i="25"/>
  <c r="H321" i="25"/>
  <c r="H305" i="25"/>
  <c r="H289" i="25"/>
  <c r="H273" i="25"/>
  <c r="H256" i="25"/>
  <c r="H233" i="25"/>
  <c r="H208" i="25"/>
  <c r="H176" i="25"/>
  <c r="H144" i="25"/>
  <c r="H112" i="25"/>
  <c r="H80" i="25"/>
  <c r="H48" i="25"/>
  <c r="H16" i="25"/>
  <c r="G324" i="25"/>
  <c r="G238" i="25"/>
  <c r="G228" i="25"/>
  <c r="G217" i="25"/>
  <c r="G206" i="25"/>
  <c r="G195" i="25"/>
  <c r="G181" i="25"/>
  <c r="G169" i="25"/>
  <c r="G156" i="25"/>
  <c r="G142" i="25"/>
  <c r="G131" i="25"/>
  <c r="G117" i="25"/>
  <c r="G105" i="25"/>
  <c r="G92" i="25"/>
  <c r="G78" i="25"/>
  <c r="G67" i="25"/>
  <c r="G53" i="25"/>
  <c r="G41" i="25"/>
  <c r="G28" i="25"/>
  <c r="G14" i="25"/>
  <c r="H335" i="25"/>
  <c r="H320" i="25"/>
  <c r="H304" i="25"/>
  <c r="H288" i="25"/>
  <c r="H272" i="25"/>
  <c r="H255" i="25"/>
  <c r="H232" i="25"/>
  <c r="H207" i="25"/>
  <c r="H175" i="25"/>
  <c r="H143" i="25"/>
  <c r="H111" i="25"/>
  <c r="H79" i="25"/>
  <c r="H47" i="25"/>
  <c r="H15" i="25"/>
  <c r="B10" i="4"/>
  <c r="H93" i="26" l="1" a="1"/>
  <c r="H93" i="26" s="1"/>
  <c r="I93" i="26" a="1"/>
  <c r="I93" i="26" s="1"/>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<sst xmlns="http://schemas.openxmlformats.org/spreadsheetml/2006/main" count="8089" uniqueCount="2324">
  <si>
    <t>Part A Descriptive Analysis</t>
  </si>
  <si>
    <t>Task1</t>
  </si>
  <si>
    <t>Facebook Survey</t>
  </si>
  <si>
    <t>Student</t>
  </si>
  <si>
    <t>Gender</t>
  </si>
  <si>
    <t>Hours online/week</t>
  </si>
  <si>
    <t>Friends</t>
  </si>
  <si>
    <t>female</t>
  </si>
  <si>
    <t>male</t>
  </si>
  <si>
    <t>Task2</t>
  </si>
  <si>
    <t>Store and Regional Sales Database</t>
  </si>
  <si>
    <t>ID</t>
  </si>
  <si>
    <t>Store No.</t>
  </si>
  <si>
    <t>Sales Region</t>
  </si>
  <si>
    <t>Item No.</t>
  </si>
  <si>
    <t>Item Description</t>
  </si>
  <si>
    <t>Unit Price</t>
  </si>
  <si>
    <t>Units Sold</t>
  </si>
  <si>
    <t>Week Ending</t>
  </si>
  <si>
    <t>South</t>
  </si>
  <si>
    <t>24" Monitor</t>
  </si>
  <si>
    <t>October</t>
  </si>
  <si>
    <t>November</t>
  </si>
  <si>
    <t>December</t>
  </si>
  <si>
    <t>Wireless Keyboard</t>
  </si>
  <si>
    <t>PC Mouse</t>
  </si>
  <si>
    <t>Laptop</t>
  </si>
  <si>
    <t>North</t>
  </si>
  <si>
    <t>East</t>
  </si>
  <si>
    <t>Sales Data</t>
  </si>
  <si>
    <t>Customer</t>
  </si>
  <si>
    <t xml:space="preserve"> Percent Gross Profit</t>
  </si>
  <si>
    <t>Gross Sales</t>
  </si>
  <si>
    <t>Gross Profit</t>
  </si>
  <si>
    <t>Industry Code</t>
  </si>
  <si>
    <t>Competitive Rating*</t>
  </si>
  <si>
    <t>*Rates the amount of competition for sales of the products sold to these customers: 1 = very little competition to 5 = very competitive</t>
  </si>
  <si>
    <t>Task3</t>
  </si>
  <si>
    <t>Bin</t>
  </si>
  <si>
    <t>More</t>
  </si>
  <si>
    <t>Frequency</t>
  </si>
  <si>
    <t>Automated Frequent distribution Gross Sales</t>
  </si>
  <si>
    <t>Automated Frequent distribution Gross Profit</t>
  </si>
  <si>
    <t>Bins</t>
  </si>
  <si>
    <t>Frequent distribution Gross Sales by Upper Group Limits</t>
  </si>
  <si>
    <t>Frequent distribution Gross Profit by Upper Group Limits</t>
  </si>
  <si>
    <t>Sales Transactions: July 14</t>
  </si>
  <si>
    <t>Cust ID</t>
  </si>
  <si>
    <t>Region</t>
  </si>
  <si>
    <t xml:space="preserve">Payment </t>
  </si>
  <si>
    <t>Transaction Code</t>
  </si>
  <si>
    <t>Source</t>
  </si>
  <si>
    <t>Amount</t>
  </si>
  <si>
    <t>Product</t>
  </si>
  <si>
    <t>Time Of Day</t>
  </si>
  <si>
    <t>Paypal</t>
  </si>
  <si>
    <t>Web</t>
  </si>
  <si>
    <t>DVD</t>
  </si>
  <si>
    <t>West</t>
  </si>
  <si>
    <t>Credit</t>
  </si>
  <si>
    <t>Email</t>
  </si>
  <si>
    <t>Book</t>
  </si>
  <si>
    <t>Row Labels</t>
  </si>
  <si>
    <t>Grand Total</t>
  </si>
  <si>
    <t>Task4</t>
  </si>
  <si>
    <t>Sum of Amount</t>
  </si>
  <si>
    <t>Count of transactions</t>
  </si>
  <si>
    <t>Task5</t>
  </si>
  <si>
    <r>
      <t xml:space="preserve">The measures of location include the mean, median, mode, and midrange, while the measures of dispersion include the range, interquartile range, variance, and standard deviation. The measures of shape are skewness and kurtosis, and the measures of association are covariance and correlation.
</t>
    </r>
    <r>
      <rPr>
        <b/>
        <sz val="11"/>
        <color theme="1"/>
        <rFont val="Calibri"/>
        <family val="2"/>
        <scheme val="minor"/>
      </rPr>
      <t>Location:</t>
    </r>
    <r>
      <rPr>
        <sz val="11"/>
        <color theme="1"/>
        <rFont val="Calibri"/>
        <family val="2"/>
        <scheme val="minor"/>
      </rPr>
      <t xml:space="preserve">
•	Mean:
-	The average value of data. Calculated by adding all the values together and dividing the sum by the number of values.
•	Median:
-	The median specifies the middle value when the data are arranged from least to greatest.
•	Mode:
-	The mode is the observation that occurs most frequently.
•	Midrange:
-	The midrange is the average of the greatest and least values in the data set.
</t>
    </r>
    <r>
      <rPr>
        <b/>
        <sz val="11"/>
        <color theme="1"/>
        <rFont val="Calibri"/>
        <family val="2"/>
        <scheme val="minor"/>
      </rPr>
      <t>Dispersion:</t>
    </r>
    <r>
      <rPr>
        <sz val="11"/>
        <color theme="1"/>
        <rFont val="Calibri"/>
        <family val="2"/>
        <scheme val="minor"/>
      </rPr>
      <t xml:space="preserve">
•	Range:
-	The range is the difference between the maximum value and the minimum value in the data set.
•	Interquartile range:
-	The interquartile range, or the midspread is the difference between the first and third quartiles. This includes only the middle 50% of the data and, therefore, is not influenced by extreme values.
•	Variance:
-	The variance is the “average” of the squared deviations from the mean.
•	Standard deviation:
-	The standard deviation is the square root of the variance. 
</t>
    </r>
    <r>
      <rPr>
        <b/>
        <sz val="11"/>
        <color theme="1"/>
        <rFont val="Calibri"/>
        <family val="2"/>
        <scheme val="minor"/>
      </rPr>
      <t>Shape:</t>
    </r>
    <r>
      <rPr>
        <sz val="11"/>
        <color theme="1"/>
        <rFont val="Calibri"/>
        <family val="2"/>
        <scheme val="minor"/>
      </rPr>
      <t xml:space="preserve">
•	Skewness:
-	Skewness describes the lack of symmetry of data. 
-	Distributions that tail off to the right are called positively skewed; those that tail off to the left are said to be negatively skewed.
•	Kurtosis:
-	Kurtosis refers to the peakedness (i.e., high, narrow) or flatness (i.e., short, flat-topped) of a histogram.
</t>
    </r>
    <r>
      <rPr>
        <b/>
        <sz val="11"/>
        <color theme="1"/>
        <rFont val="Calibri"/>
        <family val="2"/>
        <scheme val="minor"/>
      </rPr>
      <t>Association:</t>
    </r>
    <r>
      <rPr>
        <sz val="11"/>
        <color theme="1"/>
        <rFont val="Calibri"/>
        <family val="2"/>
        <scheme val="minor"/>
      </rPr>
      <t xml:space="preserve">
•	Covariance:
-	Covariance is a measure of the linear association between two variables, X and Y. The covariance between X and Y is the average of the product of the deviations of each pair of observations from their respective means.
•	Correlation:
-	Correlation is a measure of the linear relationship between two variables, X and Y, which does not depend on the units of measurement. The correlation coefficient is scaled between −1 and 1.</t>
    </r>
  </si>
  <si>
    <t>Weddings</t>
  </si>
  <si>
    <t>Couple's Income</t>
  </si>
  <si>
    <t xml:space="preserve">Bride's age </t>
  </si>
  <si>
    <t>Payor</t>
  </si>
  <si>
    <t>Wedding cost</t>
  </si>
  <si>
    <t>Attendance</t>
  </si>
  <si>
    <t>Value Rating</t>
  </si>
  <si>
    <t>Bride's Parents</t>
  </si>
  <si>
    <t>Bride &amp; Groom</t>
  </si>
  <si>
    <t>Groom's Parents</t>
  </si>
  <si>
    <t>Task6</t>
  </si>
  <si>
    <t>Average</t>
  </si>
  <si>
    <t>Median</t>
  </si>
  <si>
    <t>Standard Deviation</t>
  </si>
  <si>
    <t>A newly engaged couple should expect the cost to be around $24000 which would be realistic for most people. This is the median, meaning half of the weddings cost more, and half of the weddings cost less. The standard deviation of $13239 indicates a significant variability in wedding cast, meaning other wedding costs could be significantly higher or cheaper. A couple should bear this in mind when planning and considering factors like location, guest list, entertainment etc.</t>
  </si>
  <si>
    <t>Cell Phone Survey</t>
  </si>
  <si>
    <t>Carrier</t>
  </si>
  <si>
    <t>Type</t>
  </si>
  <si>
    <t>Usage</t>
  </si>
  <si>
    <t>Signal strength</t>
  </si>
  <si>
    <t>Value for the Dollar</t>
  </si>
  <si>
    <t>Customer Service</t>
  </si>
  <si>
    <t>M</t>
  </si>
  <si>
    <t>AT&amp;T</t>
  </si>
  <si>
    <t>Smart</t>
  </si>
  <si>
    <t>High</t>
  </si>
  <si>
    <t>Very high</t>
  </si>
  <si>
    <t>F</t>
  </si>
  <si>
    <t>Other</t>
  </si>
  <si>
    <t>Sprint</t>
  </si>
  <si>
    <t>Verizon</t>
  </si>
  <si>
    <t>Camera</t>
  </si>
  <si>
    <t>Low</t>
  </si>
  <si>
    <t>Basic</t>
  </si>
  <si>
    <t>T-mobile</t>
  </si>
  <si>
    <t>Task7</t>
  </si>
  <si>
    <t>Average of Signal strength</t>
  </si>
  <si>
    <t>Average of Value for the Dollar</t>
  </si>
  <si>
    <t>Var of Customer Service</t>
  </si>
  <si>
    <t>a)</t>
  </si>
  <si>
    <t>b)</t>
  </si>
  <si>
    <t>Carrier &amp; Usage</t>
  </si>
  <si>
    <t>c)</t>
  </si>
  <si>
    <t>From this information, we can conclude that each carrier has distinct strengths and weaknesses. Verizon leads in signal strength but faces challenges with a low perceived value for money and a high variance in customer service. AT&amp;T also has relatively high signal strength and a better value for the dollar than Verizon. However, like Verizon, AT&amp;T shows a high variance in customer service perception. Sprint has one of the lowest signal strength averages but compensates with a high average in value for the dollar. T-Mobile is similar to Sprint, with the main difference being that Sprint offers a higher value for the dollar, a lower signal strength, and a lower variance in customer service.</t>
  </si>
  <si>
    <t>Credit Risk Data</t>
  </si>
  <si>
    <t>Loan Purpose</t>
  </si>
  <si>
    <t xml:space="preserve">Checking </t>
  </si>
  <si>
    <t>Savings</t>
  </si>
  <si>
    <t>Months Customer</t>
  </si>
  <si>
    <t>Months Employed</t>
  </si>
  <si>
    <t>Marital Status</t>
  </si>
  <si>
    <t>Age</t>
  </si>
  <si>
    <t>Housing</t>
  </si>
  <si>
    <t>Years</t>
  </si>
  <si>
    <t>Job</t>
  </si>
  <si>
    <t>Credit Risk</t>
  </si>
  <si>
    <t>Small Appliance</t>
  </si>
  <si>
    <t>Single</t>
  </si>
  <si>
    <t>Own</t>
  </si>
  <si>
    <t>Unskilled</t>
  </si>
  <si>
    <t>Furniture</t>
  </si>
  <si>
    <t>Divorced</t>
  </si>
  <si>
    <t>Skilled</t>
  </si>
  <si>
    <t>New Car</t>
  </si>
  <si>
    <t>Management</t>
  </si>
  <si>
    <t>Education</t>
  </si>
  <si>
    <t>Rent</t>
  </si>
  <si>
    <t>Married</t>
  </si>
  <si>
    <t>Business</t>
  </si>
  <si>
    <t>Used Car</t>
  </si>
  <si>
    <t>Repairs</t>
  </si>
  <si>
    <t>Unemployed</t>
  </si>
  <si>
    <t>Retraining</t>
  </si>
  <si>
    <t>Large Appliance</t>
  </si>
  <si>
    <t>Task8</t>
  </si>
  <si>
    <t>Correlation: Age x Months Employed</t>
  </si>
  <si>
    <t>Correlation: Age x Checking &amp; Savings</t>
  </si>
  <si>
    <t>Correlation: Months Customer x Money in bank</t>
  </si>
  <si>
    <t>From these results, we observe a noticeable correlation between age and months employed. However, there is little to no correlation between age and the combined checking and savings balance, as well as between the number of months as a customer and the amount of money in the bank.</t>
  </si>
  <si>
    <t>Delta Airline Flight Statistics, Atlanta Hartsfield International (ATL) December 24, 2009</t>
  </si>
  <si>
    <t>Flight Number</t>
  </si>
  <si>
    <t xml:space="preserve">Origin Airport </t>
  </si>
  <si>
    <t xml:space="preserve">Scheduled Arrival Time             </t>
  </si>
  <si>
    <t xml:space="preserve">Actual Arrival Time             </t>
  </si>
  <si>
    <t>Time Difference (Minutes)</t>
  </si>
  <si>
    <t>Taxi-in Time (Minutes)</t>
  </si>
  <si>
    <t>IAH</t>
  </si>
  <si>
    <t>19:04</t>
  </si>
  <si>
    <t>19:19</t>
  </si>
  <si>
    <t>LAX</t>
  </si>
  <si>
    <t>15:10</t>
  </si>
  <si>
    <t>15:04</t>
  </si>
  <si>
    <t>MSY</t>
  </si>
  <si>
    <t>16:33</t>
  </si>
  <si>
    <t>16:24</t>
  </si>
  <si>
    <t>LAS</t>
  </si>
  <si>
    <t>14:33</t>
  </si>
  <si>
    <t>14:27</t>
  </si>
  <si>
    <t>MCO</t>
  </si>
  <si>
    <t>14:10</t>
  </si>
  <si>
    <t>14:15</t>
  </si>
  <si>
    <t>16:10</t>
  </si>
  <si>
    <t>15:48</t>
  </si>
  <si>
    <t>JFK</t>
  </si>
  <si>
    <t>19:41</t>
  </si>
  <si>
    <t>19:54</t>
  </si>
  <si>
    <t>19:02</t>
  </si>
  <si>
    <t>19:22</t>
  </si>
  <si>
    <t>18:00</t>
  </si>
  <si>
    <t>17:58</t>
  </si>
  <si>
    <t>DFW</t>
  </si>
  <si>
    <t>15:18</t>
  </si>
  <si>
    <t>15:14</t>
  </si>
  <si>
    <t>SFO</t>
  </si>
  <si>
    <t>14:44</t>
  </si>
  <si>
    <t>14:35</t>
  </si>
  <si>
    <t>MIA</t>
  </si>
  <si>
    <t>15:41</t>
  </si>
  <si>
    <t>15:39</t>
  </si>
  <si>
    <t>17:41</t>
  </si>
  <si>
    <t>17:56</t>
  </si>
  <si>
    <t>DTW</t>
  </si>
  <si>
    <t>17:35</t>
  </si>
  <si>
    <t>17:26</t>
  </si>
  <si>
    <t>17:09</t>
  </si>
  <si>
    <t>16:52</t>
  </si>
  <si>
    <t>16:19</t>
  </si>
  <si>
    <t>16:18</t>
  </si>
  <si>
    <t>SLC</t>
  </si>
  <si>
    <t>14:38</t>
  </si>
  <si>
    <t>EWR</t>
  </si>
  <si>
    <t>19:32</t>
  </si>
  <si>
    <t>15:25</t>
  </si>
  <si>
    <t>15:50</t>
  </si>
  <si>
    <t>20:31</t>
  </si>
  <si>
    <t>20:43</t>
  </si>
  <si>
    <t>LGA</t>
  </si>
  <si>
    <t>10:53</t>
  </si>
  <si>
    <t>10:33</t>
  </si>
  <si>
    <t>IAD</t>
  </si>
  <si>
    <t>07:34</t>
  </si>
  <si>
    <t>07:21</t>
  </si>
  <si>
    <t>RDU</t>
  </si>
  <si>
    <t>08:44</t>
  </si>
  <si>
    <t>09:09</t>
  </si>
  <si>
    <t>MSP</t>
  </si>
  <si>
    <t>13:49</t>
  </si>
  <si>
    <t>14:12</t>
  </si>
  <si>
    <t>CLT</t>
  </si>
  <si>
    <t>08:48</t>
  </si>
  <si>
    <t>09:17</t>
  </si>
  <si>
    <t>SJU</t>
  </si>
  <si>
    <t>11:07</t>
  </si>
  <si>
    <t>10:59</t>
  </si>
  <si>
    <t>13:05</t>
  </si>
  <si>
    <t>13:02</t>
  </si>
  <si>
    <t>17:24</t>
  </si>
  <si>
    <t>17:06</t>
  </si>
  <si>
    <t>18:43</t>
  </si>
  <si>
    <t>18:22</t>
  </si>
  <si>
    <t>19:40</t>
  </si>
  <si>
    <t>19:42</t>
  </si>
  <si>
    <t>STX</t>
  </si>
  <si>
    <t>19:06</t>
  </si>
  <si>
    <t>ROC</t>
  </si>
  <si>
    <t>08:55</t>
  </si>
  <si>
    <t>08:26</t>
  </si>
  <si>
    <t>CHS</t>
  </si>
  <si>
    <t>07:22</t>
  </si>
  <si>
    <t>07:02</t>
  </si>
  <si>
    <t>08:42</t>
  </si>
  <si>
    <t>09:11</t>
  </si>
  <si>
    <t>SNA</t>
  </si>
  <si>
    <t>16:02</t>
  </si>
  <si>
    <t>15:43</t>
  </si>
  <si>
    <t>STT</t>
  </si>
  <si>
    <t>17:15</t>
  </si>
  <si>
    <t>17:13</t>
  </si>
  <si>
    <t>ORD</t>
  </si>
  <si>
    <t>09:00</t>
  </si>
  <si>
    <t>09:02</t>
  </si>
  <si>
    <t>19:11</t>
  </si>
  <si>
    <t>19:18</t>
  </si>
  <si>
    <t>10:03</t>
  </si>
  <si>
    <t>20:34</t>
  </si>
  <si>
    <t>20:28</t>
  </si>
  <si>
    <t>CVG</t>
  </si>
  <si>
    <t>08:49</t>
  </si>
  <si>
    <t>08:40</t>
  </si>
  <si>
    <t>PHL</t>
  </si>
  <si>
    <t>08:33</t>
  </si>
  <si>
    <t>09:03</t>
  </si>
  <si>
    <t>10:04</t>
  </si>
  <si>
    <t>10:45</t>
  </si>
  <si>
    <t>11:02</t>
  </si>
  <si>
    <t>11:09</t>
  </si>
  <si>
    <t>14:03</t>
  </si>
  <si>
    <t>14:01</t>
  </si>
  <si>
    <t>ABQ</t>
  </si>
  <si>
    <t>13:07</t>
  </si>
  <si>
    <t>SAT</t>
  </si>
  <si>
    <t>14:19</t>
  </si>
  <si>
    <t>16:26</t>
  </si>
  <si>
    <t>16:22</t>
  </si>
  <si>
    <t>19:01</t>
  </si>
  <si>
    <t>PNS</t>
  </si>
  <si>
    <t>18:03</t>
  </si>
  <si>
    <t>17:55</t>
  </si>
  <si>
    <t>20:52</t>
  </si>
  <si>
    <t>20:27</t>
  </si>
  <si>
    <t>PHX</t>
  </si>
  <si>
    <t>12:43</t>
  </si>
  <si>
    <t>12:54</t>
  </si>
  <si>
    <t>13:53</t>
  </si>
  <si>
    <t>17:49</t>
  </si>
  <si>
    <t>17:40</t>
  </si>
  <si>
    <t>22:18</t>
  </si>
  <si>
    <t>CMH</t>
  </si>
  <si>
    <t>16:40</t>
  </si>
  <si>
    <t>16:30</t>
  </si>
  <si>
    <t>06:18</t>
  </si>
  <si>
    <t>06:05</t>
  </si>
  <si>
    <t>SAN</t>
  </si>
  <si>
    <t>13:34</t>
  </si>
  <si>
    <t>13:32</t>
  </si>
  <si>
    <t>JAX</t>
  </si>
  <si>
    <t>09:59</t>
  </si>
  <si>
    <t>09:24</t>
  </si>
  <si>
    <t>18:27</t>
  </si>
  <si>
    <t>18:04</t>
  </si>
  <si>
    <t>05:37</t>
  </si>
  <si>
    <t>05:35</t>
  </si>
  <si>
    <t>SEA</t>
  </si>
  <si>
    <t>13:48</t>
  </si>
  <si>
    <t>13:56</t>
  </si>
  <si>
    <t>14:57</t>
  </si>
  <si>
    <t>15:12</t>
  </si>
  <si>
    <t>20:02</t>
  </si>
  <si>
    <t>TPA</t>
  </si>
  <si>
    <t>09:14</t>
  </si>
  <si>
    <t>09:12</t>
  </si>
  <si>
    <t>06:12</t>
  </si>
  <si>
    <t>13:37</t>
  </si>
  <si>
    <t>13:36</t>
  </si>
  <si>
    <t>16:07</t>
  </si>
  <si>
    <t>21:59</t>
  </si>
  <si>
    <t>21:49</t>
  </si>
  <si>
    <t>06:21</t>
  </si>
  <si>
    <t>06:07</t>
  </si>
  <si>
    <t>11:16</t>
  </si>
  <si>
    <t>12:36</t>
  </si>
  <si>
    <t>13:21</t>
  </si>
  <si>
    <t>13:17</t>
  </si>
  <si>
    <t>17:05</t>
  </si>
  <si>
    <t>17:03</t>
  </si>
  <si>
    <t>BDL</t>
  </si>
  <si>
    <t>15:38</t>
  </si>
  <si>
    <t>09:22</t>
  </si>
  <si>
    <t>19:55</t>
  </si>
  <si>
    <t>20:37</t>
  </si>
  <si>
    <t>20:25</t>
  </si>
  <si>
    <t>14:09</t>
  </si>
  <si>
    <t>06:13</t>
  </si>
  <si>
    <t>06:02</t>
  </si>
  <si>
    <t>18:34</t>
  </si>
  <si>
    <t>18:31</t>
  </si>
  <si>
    <t>EYW</t>
  </si>
  <si>
    <t>14:45</t>
  </si>
  <si>
    <t>14:42</t>
  </si>
  <si>
    <t>RSW</t>
  </si>
  <si>
    <t>18:07</t>
  </si>
  <si>
    <t>17:48</t>
  </si>
  <si>
    <t>PBI</t>
  </si>
  <si>
    <t>20:49</t>
  </si>
  <si>
    <t>20:55</t>
  </si>
  <si>
    <t>13:33</t>
  </si>
  <si>
    <t>BUF</t>
  </si>
  <si>
    <t>18:59</t>
  </si>
  <si>
    <t>18:36</t>
  </si>
  <si>
    <t>12:37</t>
  </si>
  <si>
    <t>12:46</t>
  </si>
  <si>
    <t>13:47</t>
  </si>
  <si>
    <t>15:00</t>
  </si>
  <si>
    <t>12:44</t>
  </si>
  <si>
    <t>12:39</t>
  </si>
  <si>
    <t>18:10</t>
  </si>
  <si>
    <t>18:06</t>
  </si>
  <si>
    <t>SRQ</t>
  </si>
  <si>
    <t>15:03</t>
  </si>
  <si>
    <t>14:54</t>
  </si>
  <si>
    <t>BNA</t>
  </si>
  <si>
    <t>08:57</t>
  </si>
  <si>
    <t>08:51</t>
  </si>
  <si>
    <t>15:22</t>
  </si>
  <si>
    <t>15:17</t>
  </si>
  <si>
    <t>12:59</t>
  </si>
  <si>
    <t>PIT</t>
  </si>
  <si>
    <t>08:32</t>
  </si>
  <si>
    <t>08:34</t>
  </si>
  <si>
    <t>08:43</t>
  </si>
  <si>
    <t>18:44</t>
  </si>
  <si>
    <t>19:15</t>
  </si>
  <si>
    <t>MCI</t>
  </si>
  <si>
    <t>15:57</t>
  </si>
  <si>
    <t>16:36</t>
  </si>
  <si>
    <t>13:50</t>
  </si>
  <si>
    <t>13:28</t>
  </si>
  <si>
    <t>13:18</t>
  </si>
  <si>
    <t>13:01</t>
  </si>
  <si>
    <t>STL</t>
  </si>
  <si>
    <t>15:02</t>
  </si>
  <si>
    <t>10:05</t>
  </si>
  <si>
    <t>09:55</t>
  </si>
  <si>
    <t>TUS</t>
  </si>
  <si>
    <t>19:25</t>
  </si>
  <si>
    <t>19:14</t>
  </si>
  <si>
    <t>08:39</t>
  </si>
  <si>
    <t>06:57</t>
  </si>
  <si>
    <t>06:47</t>
  </si>
  <si>
    <t>08:11</t>
  </si>
  <si>
    <t>07:52</t>
  </si>
  <si>
    <t>FLL</t>
  </si>
  <si>
    <t>18:56</t>
  </si>
  <si>
    <t>10:19</t>
  </si>
  <si>
    <t>10:16</t>
  </si>
  <si>
    <t>11:04</t>
  </si>
  <si>
    <t>10:50</t>
  </si>
  <si>
    <t>12:05</t>
  </si>
  <si>
    <t>11:54</t>
  </si>
  <si>
    <t>13:08</t>
  </si>
  <si>
    <t>19:16</t>
  </si>
  <si>
    <t>19:00</t>
  </si>
  <si>
    <t>20:14</t>
  </si>
  <si>
    <t>19:53</t>
  </si>
  <si>
    <t>10:10</t>
  </si>
  <si>
    <t>10:57</t>
  </si>
  <si>
    <t>18:30</t>
  </si>
  <si>
    <t>18:29</t>
  </si>
  <si>
    <t>11:10</t>
  </si>
  <si>
    <t>11:05</t>
  </si>
  <si>
    <t>MEM</t>
  </si>
  <si>
    <t>13:59</t>
  </si>
  <si>
    <t>14:00</t>
  </si>
  <si>
    <t>16:45</t>
  </si>
  <si>
    <t>07:45</t>
  </si>
  <si>
    <t>07:26</t>
  </si>
  <si>
    <t>AUS</t>
  </si>
  <si>
    <t>19:17</t>
  </si>
  <si>
    <t>19:31</t>
  </si>
  <si>
    <t>06:40</t>
  </si>
  <si>
    <t>06:31</t>
  </si>
  <si>
    <t>14:14</t>
  </si>
  <si>
    <t>14:06</t>
  </si>
  <si>
    <t>17:02</t>
  </si>
  <si>
    <t>20:01</t>
  </si>
  <si>
    <t>20:04</t>
  </si>
  <si>
    <t>18:09</t>
  </si>
  <si>
    <t>17:57</t>
  </si>
  <si>
    <t>11:35</t>
  </si>
  <si>
    <t>11:17</t>
  </si>
  <si>
    <t>JAC</t>
  </si>
  <si>
    <t>19:07</t>
  </si>
  <si>
    <t>19:30</t>
  </si>
  <si>
    <t>PDX</t>
  </si>
  <si>
    <t>14:24</t>
  </si>
  <si>
    <t>19:28</t>
  </si>
  <si>
    <t>SAV</t>
  </si>
  <si>
    <t>16:31</t>
  </si>
  <si>
    <t>16:14</t>
  </si>
  <si>
    <t>BHM</t>
  </si>
  <si>
    <t>08:30</t>
  </si>
  <si>
    <t>16:28</t>
  </si>
  <si>
    <t>16:13</t>
  </si>
  <si>
    <t>09:56</t>
  </si>
  <si>
    <t>09:37</t>
  </si>
  <si>
    <t>07:44</t>
  </si>
  <si>
    <t>07:32</t>
  </si>
  <si>
    <t>18:08</t>
  </si>
  <si>
    <t>19:10</t>
  </si>
  <si>
    <t>IND</t>
  </si>
  <si>
    <t>19:12</t>
  </si>
  <si>
    <t>14:55</t>
  </si>
  <si>
    <t>15:06</t>
  </si>
  <si>
    <t>09:54</t>
  </si>
  <si>
    <t>12:38</t>
  </si>
  <si>
    <t>12:51</t>
  </si>
  <si>
    <t>19:43</t>
  </si>
  <si>
    <t>12:30</t>
  </si>
  <si>
    <t>12:19</t>
  </si>
  <si>
    <t>18:38</t>
  </si>
  <si>
    <t>10:09</t>
  </si>
  <si>
    <t>10:02</t>
  </si>
  <si>
    <t>MDW</t>
  </si>
  <si>
    <t>18:15</t>
  </si>
  <si>
    <t>18:18</t>
  </si>
  <si>
    <t>18:19</t>
  </si>
  <si>
    <t>18:20</t>
  </si>
  <si>
    <t>17:42</t>
  </si>
  <si>
    <t>17:44</t>
  </si>
  <si>
    <t>08:41</t>
  </si>
  <si>
    <t>07:35</t>
  </si>
  <si>
    <t>16:35</t>
  </si>
  <si>
    <t>16:38</t>
  </si>
  <si>
    <t>16:09</t>
  </si>
  <si>
    <t>16:51</t>
  </si>
  <si>
    <t>16:39</t>
  </si>
  <si>
    <t>19:45</t>
  </si>
  <si>
    <t>19:58</t>
  </si>
  <si>
    <t>08:13</t>
  </si>
  <si>
    <t>16:43</t>
  </si>
  <si>
    <t>16:59</t>
  </si>
  <si>
    <t>19:09</t>
  </si>
  <si>
    <t>19:49</t>
  </si>
  <si>
    <t>09:51</t>
  </si>
  <si>
    <t>17:45</t>
  </si>
  <si>
    <t>17:28</t>
  </si>
  <si>
    <t>09:49</t>
  </si>
  <si>
    <t>09:34</t>
  </si>
  <si>
    <t>EGE</t>
  </si>
  <si>
    <t>17:59</t>
  </si>
  <si>
    <t>08:21</t>
  </si>
  <si>
    <t>14:02</t>
  </si>
  <si>
    <t>09:08</t>
  </si>
  <si>
    <t>MOB</t>
  </si>
  <si>
    <t>08:23</t>
  </si>
  <si>
    <t>11:13</t>
  </si>
  <si>
    <t>10:55</t>
  </si>
  <si>
    <t>ORF</t>
  </si>
  <si>
    <t>08:58</t>
  </si>
  <si>
    <t>09:04</t>
  </si>
  <si>
    <t>SMF</t>
  </si>
  <si>
    <t>19:29</t>
  </si>
  <si>
    <t>MKE</t>
  </si>
  <si>
    <t>08:53</t>
  </si>
  <si>
    <t>21:00</t>
  </si>
  <si>
    <t>21:19</t>
  </si>
  <si>
    <t>12:53</t>
  </si>
  <si>
    <t>12:57</t>
  </si>
  <si>
    <t>12:34</t>
  </si>
  <si>
    <t>12:41</t>
  </si>
  <si>
    <t>18:24</t>
  </si>
  <si>
    <t>SJC</t>
  </si>
  <si>
    <t>13:57</t>
  </si>
  <si>
    <t>14:18</t>
  </si>
  <si>
    <t>19:34</t>
  </si>
  <si>
    <t>17:51</t>
  </si>
  <si>
    <t>21:20</t>
  </si>
  <si>
    <t>22:37</t>
  </si>
  <si>
    <t>22:49</t>
  </si>
  <si>
    <t>18:45</t>
  </si>
  <si>
    <t>18:54</t>
  </si>
  <si>
    <t>08:45</t>
  </si>
  <si>
    <t>20:08</t>
  </si>
  <si>
    <t>20:22</t>
  </si>
  <si>
    <t>10:01</t>
  </si>
  <si>
    <t>07:54</t>
  </si>
  <si>
    <t>11:26</t>
  </si>
  <si>
    <t>11:27</t>
  </si>
  <si>
    <t>ONT</t>
  </si>
  <si>
    <t>13:41</t>
  </si>
  <si>
    <t>14:07</t>
  </si>
  <si>
    <t>09:43</t>
  </si>
  <si>
    <t>08:56</t>
  </si>
  <si>
    <t>06:20</t>
  </si>
  <si>
    <t>13:46</t>
  </si>
  <si>
    <t>22:04</t>
  </si>
  <si>
    <t>RIC</t>
  </si>
  <si>
    <t>07:24</t>
  </si>
  <si>
    <t>DAY</t>
  </si>
  <si>
    <t>07:39</t>
  </si>
  <si>
    <t>20:53</t>
  </si>
  <si>
    <t>20:45</t>
  </si>
  <si>
    <t>12:49</t>
  </si>
  <si>
    <t>16:16</t>
  </si>
  <si>
    <t>12:29</t>
  </si>
  <si>
    <t>12:42</t>
  </si>
  <si>
    <t>10:08</t>
  </si>
  <si>
    <t>10:54</t>
  </si>
  <si>
    <t>HDN</t>
  </si>
  <si>
    <t>08:19</t>
  </si>
  <si>
    <t>09:46</t>
  </si>
  <si>
    <t>09:39</t>
  </si>
  <si>
    <t>12:02</t>
  </si>
  <si>
    <t>11:24</t>
  </si>
  <si>
    <t>13:58</t>
  </si>
  <si>
    <t>14:53</t>
  </si>
  <si>
    <t>15:32</t>
  </si>
  <si>
    <t>16:50</t>
  </si>
  <si>
    <t>16:27</t>
  </si>
  <si>
    <t>17:39</t>
  </si>
  <si>
    <t>18:37</t>
  </si>
  <si>
    <t>22:22</t>
  </si>
  <si>
    <t>21:02</t>
  </si>
  <si>
    <t>20:54</t>
  </si>
  <si>
    <t>06:41</t>
  </si>
  <si>
    <t>06:33</t>
  </si>
  <si>
    <t>BOS</t>
  </si>
  <si>
    <t>08:52</t>
  </si>
  <si>
    <t>08:25</t>
  </si>
  <si>
    <t>07:36</t>
  </si>
  <si>
    <t>10:21</t>
  </si>
  <si>
    <t>10:07</t>
  </si>
  <si>
    <t>09:06</t>
  </si>
  <si>
    <t>11:42</t>
  </si>
  <si>
    <t>12:00</t>
  </si>
  <si>
    <t>17:25</t>
  </si>
  <si>
    <t>18:51</t>
  </si>
  <si>
    <t>20:06</t>
  </si>
  <si>
    <t>BWI</t>
  </si>
  <si>
    <t>08:50</t>
  </si>
  <si>
    <t>09:15</t>
  </si>
  <si>
    <t>11:57</t>
  </si>
  <si>
    <t>11:56</t>
  </si>
  <si>
    <t>07:42</t>
  </si>
  <si>
    <t>07:49</t>
  </si>
  <si>
    <t>14:22</t>
  </si>
  <si>
    <t>12:33</t>
  </si>
  <si>
    <t>12:32</t>
  </si>
  <si>
    <t>14:36</t>
  </si>
  <si>
    <t>15:35</t>
  </si>
  <si>
    <t>17:53</t>
  </si>
  <si>
    <t>19:39</t>
  </si>
  <si>
    <t>19:50</t>
  </si>
  <si>
    <t>DEN</t>
  </si>
  <si>
    <t>05:56</t>
  </si>
  <si>
    <t>06:17</t>
  </si>
  <si>
    <t>07:51</t>
  </si>
  <si>
    <t>11:48</t>
  </si>
  <si>
    <t>13:16</t>
  </si>
  <si>
    <t>12:22</t>
  </si>
  <si>
    <t>13:00</t>
  </si>
  <si>
    <t>14:29</t>
  </si>
  <si>
    <t>15:59</t>
  </si>
  <si>
    <t>10:13</t>
  </si>
  <si>
    <t>08:37</t>
  </si>
  <si>
    <t>12:45</t>
  </si>
  <si>
    <t>12:52</t>
  </si>
  <si>
    <t>13:09</t>
  </si>
  <si>
    <t>13:19</t>
  </si>
  <si>
    <t>04:23</t>
  </si>
  <si>
    <t>02:44</t>
  </si>
  <si>
    <t>11:49</t>
  </si>
  <si>
    <t>11:33</t>
  </si>
  <si>
    <t>15:08</t>
  </si>
  <si>
    <t>14:58</t>
  </si>
  <si>
    <t>DCA</t>
  </si>
  <si>
    <t>08:00</t>
  </si>
  <si>
    <t>07:59</t>
  </si>
  <si>
    <t>DAB</t>
  </si>
  <si>
    <t>07:30</t>
  </si>
  <si>
    <t>07:38</t>
  </si>
  <si>
    <t>12:58</t>
  </si>
  <si>
    <t>11:30</t>
  </si>
  <si>
    <t>COS</t>
  </si>
  <si>
    <t>15:01</t>
  </si>
  <si>
    <t>14:59</t>
  </si>
  <si>
    <t>16:05</t>
  </si>
  <si>
    <t>16:54</t>
  </si>
  <si>
    <t>19:05</t>
  </si>
  <si>
    <t>20:05</t>
  </si>
  <si>
    <t>19:26</t>
  </si>
  <si>
    <t>08:35</t>
  </si>
  <si>
    <t>09:41</t>
  </si>
  <si>
    <t>14:30</t>
  </si>
  <si>
    <t>14:32</t>
  </si>
  <si>
    <t>08:47</t>
  </si>
  <si>
    <t>16:55</t>
  </si>
  <si>
    <t>16:46</t>
  </si>
  <si>
    <t>13:54</t>
  </si>
  <si>
    <t>18:23</t>
  </si>
  <si>
    <t>19:37</t>
  </si>
  <si>
    <t>09:19</t>
  </si>
  <si>
    <t>15:33</t>
  </si>
  <si>
    <t>13:04</t>
  </si>
  <si>
    <t>ELP</t>
  </si>
  <si>
    <t>15:05</t>
  </si>
  <si>
    <t>18:01</t>
  </si>
  <si>
    <t>09:58</t>
  </si>
  <si>
    <t>10:12</t>
  </si>
  <si>
    <t>10:49</t>
  </si>
  <si>
    <t>10:41</t>
  </si>
  <si>
    <t>12:07</t>
  </si>
  <si>
    <t>12:01</t>
  </si>
  <si>
    <t>13:39</t>
  </si>
  <si>
    <t>13:27</t>
  </si>
  <si>
    <t>15:54</t>
  </si>
  <si>
    <t>15:45</t>
  </si>
  <si>
    <t>18:26</t>
  </si>
  <si>
    <t>20:48</t>
  </si>
  <si>
    <t>07:03</t>
  </si>
  <si>
    <t>06:51</t>
  </si>
  <si>
    <t>08:09</t>
  </si>
  <si>
    <t>07:58</t>
  </si>
  <si>
    <t>10:11</t>
  </si>
  <si>
    <t>11:25</t>
  </si>
  <si>
    <t>11:20</t>
  </si>
  <si>
    <t>12:47</t>
  </si>
  <si>
    <t>14:04</t>
  </si>
  <si>
    <t>12:40</t>
  </si>
  <si>
    <t>13:24</t>
  </si>
  <si>
    <t>13:20</t>
  </si>
  <si>
    <t>10:32</t>
  </si>
  <si>
    <t>14:52</t>
  </si>
  <si>
    <t>13:10</t>
  </si>
  <si>
    <t>21:55</t>
  </si>
  <si>
    <t>22:05</t>
  </si>
  <si>
    <t>23:58</t>
  </si>
  <si>
    <t>23:36</t>
  </si>
  <si>
    <t>06:10</t>
  </si>
  <si>
    <t>05:49</t>
  </si>
  <si>
    <t>10:37</t>
  </si>
  <si>
    <t>10:28</t>
  </si>
  <si>
    <t>07:08</t>
  </si>
  <si>
    <t>06:56</t>
  </si>
  <si>
    <t xml:space="preserve"> </t>
  </si>
  <si>
    <t>Task9</t>
  </si>
  <si>
    <t>Std deviation</t>
  </si>
  <si>
    <t xml:space="preserve">Time Difference </t>
  </si>
  <si>
    <t>Taxi-in Time</t>
  </si>
  <si>
    <t>Z-score Taxi-in Time</t>
  </si>
  <si>
    <t>Mean</t>
  </si>
  <si>
    <t>See G and H rows</t>
  </si>
  <si>
    <t>Z-score Time Difference</t>
  </si>
  <si>
    <t xml:space="preserve">Outliers in Time Difference </t>
  </si>
  <si>
    <t>Outliers in Taxi-in Time</t>
  </si>
  <si>
    <t>In the Z-score analysis for Time Difference, we identified 4 cases where the absolute value of the z-score is above 3, indicating 4 outliers. Similarly, in the Z-score analysis for Taxi-in Time, we found 8 cases with absolute z-scores exceeding 3, suggesting 8 outliers in the data.</t>
  </si>
  <si>
    <t>Customer Support Survey Data</t>
  </si>
  <si>
    <t>Ql</t>
  </si>
  <si>
    <t>Q2</t>
  </si>
  <si>
    <t>Q3</t>
  </si>
  <si>
    <t xml:space="preserve">Q4 </t>
  </si>
  <si>
    <t>Q5</t>
  </si>
  <si>
    <t>Q6</t>
  </si>
  <si>
    <t>Overall</t>
  </si>
  <si>
    <t>Service Index</t>
  </si>
  <si>
    <t>Engineer Index</t>
  </si>
  <si>
    <t>Resolution Time (Days)</t>
  </si>
  <si>
    <t>Response Time (min)</t>
  </si>
  <si>
    <t>Task10</t>
  </si>
  <si>
    <t>Questions</t>
  </si>
  <si>
    <t>Q1</t>
  </si>
  <si>
    <t>Q4</t>
  </si>
  <si>
    <t>Corrolation table</t>
  </si>
  <si>
    <t>Mean performance table</t>
  </si>
  <si>
    <t>Average and Std deviation table for resolution time response time</t>
  </si>
  <si>
    <t>Resolution Time</t>
  </si>
  <si>
    <t>Response Time</t>
  </si>
  <si>
    <t>Z-score Resolution Time</t>
  </si>
  <si>
    <t>Z-score Response Time</t>
  </si>
  <si>
    <t>Count of outliers in response time and resolution time</t>
  </si>
  <si>
    <t>Outliers in Response Time</t>
  </si>
  <si>
    <t>Outliers in Resolution Time</t>
  </si>
  <si>
    <t>Median erformance table</t>
  </si>
  <si>
    <t>Total average</t>
  </si>
  <si>
    <t>From the recent customer support survey, the company has gathered valuable insights that can be used to further enhance customer experience and strengthen its reputation. Overall, the survey results look positive, with an average rating of 3.03 across all questions, indicating that most customers feel the company meets or exceeds their expectations. The median rating is also consistently around 3 or higher, suggesting that there are few extreme values skewing the average.
However, there are a few instances of lower ratings, and it's important to explore what factors might influence these scores. One potential factor is the response time. Analyzing the data, we found a correlation of 0.243 between the service index and response time, and 0.203 between the engineer index and response time. While these correlations are small, they do suggest a slight connection between longer response times and better ratings, which is somewhat unexpected. However, scatter plots show a few cases where lower ratings are tied to longer resolution times.
The data also revealed that the average resolution time and response time were 5 days and 22 minutes, respectively, with standard deviations of 13.39 for resolution time and 19.49 for response time. This analysis identified two potential outliers for resolution time and one for response time. While these outliers are rare, they could negatively impact the company’s reputation. For instance, one outlier in resolution time led to a notably poor customer rating.
The overall feedback from the survey is encouraging, with customers generally satisfied with the company's service. However, occasional outliers in resolution and response times seem to be linked to lower customer ratings. Addressing these isolated cases by reducing the variation in response and resolution times could help improve customer satisfaction even further and safeguard the company's reputation.</t>
  </si>
  <si>
    <t>Report to manager</t>
  </si>
  <si>
    <t>Task11</t>
  </si>
  <si>
    <t>Part B Predictive Analytics</t>
  </si>
  <si>
    <t>a) b) c)</t>
  </si>
  <si>
    <t>d)</t>
  </si>
  <si>
    <t>The data points in c are more similar to each other.</t>
  </si>
  <si>
    <t>Pharmaceuticals</t>
  </si>
  <si>
    <t>Symbol</t>
  </si>
  <si>
    <t>Market_Cap</t>
  </si>
  <si>
    <t>PE_Ratio</t>
  </si>
  <si>
    <t>ROE</t>
  </si>
  <si>
    <t>ROA</t>
  </si>
  <si>
    <t>Net_Profit_Margin</t>
  </si>
  <si>
    <t>ABT</t>
  </si>
  <si>
    <t>AGN</t>
  </si>
  <si>
    <t>AHM</t>
  </si>
  <si>
    <t>AZN</t>
  </si>
  <si>
    <t>AVE</t>
  </si>
  <si>
    <t>BAY</t>
  </si>
  <si>
    <t>BMY</t>
  </si>
  <si>
    <t>CHTT</t>
  </si>
  <si>
    <t>ELN</t>
  </si>
  <si>
    <t>LLY</t>
  </si>
  <si>
    <t>GSK</t>
  </si>
  <si>
    <t>IVX</t>
  </si>
  <si>
    <t>JNJ</t>
  </si>
  <si>
    <t>MRX</t>
  </si>
  <si>
    <t>MRK</t>
  </si>
  <si>
    <t>NVS</t>
  </si>
  <si>
    <t>PFE</t>
  </si>
  <si>
    <t>PHA</t>
  </si>
  <si>
    <t>SGP</t>
  </si>
  <si>
    <t>WPI</t>
  </si>
  <si>
    <t>WYE</t>
  </si>
  <si>
    <t>Std Deviation</t>
  </si>
  <si>
    <t>Z-score Market_Cap</t>
  </si>
  <si>
    <t>Z-score PE_Ratio</t>
  </si>
  <si>
    <t>Z-score ROE</t>
  </si>
  <si>
    <t>Z-score ROA</t>
  </si>
  <si>
    <t>Z-score Net_Profit Margin</t>
  </si>
  <si>
    <t>Distance</t>
  </si>
  <si>
    <t>Task12</t>
  </si>
  <si>
    <t>Task13</t>
  </si>
  <si>
    <t xml:space="preserve"> Colleges and Universities</t>
  </si>
  <si>
    <t>School</t>
  </si>
  <si>
    <t>Median SAT</t>
  </si>
  <si>
    <t>Acceptance Rate</t>
  </si>
  <si>
    <t>Expenditures/Student</t>
  </si>
  <si>
    <t>Top 10% HS</t>
  </si>
  <si>
    <t>Graduation %</t>
  </si>
  <si>
    <t>Amherst</t>
  </si>
  <si>
    <t>Lib Arts</t>
  </si>
  <si>
    <t>Barnard</t>
  </si>
  <si>
    <t>Bates</t>
  </si>
  <si>
    <t>Berkeley</t>
  </si>
  <si>
    <t>University</t>
  </si>
  <si>
    <t>Bowdoin</t>
  </si>
  <si>
    <t>Brown</t>
  </si>
  <si>
    <t>Bryn Mawr</t>
  </si>
  <si>
    <t>Cal Tech</t>
  </si>
  <si>
    <t>Carleton</t>
  </si>
  <si>
    <t>Carnegie Mellon</t>
  </si>
  <si>
    <t>Claremont McKenna</t>
  </si>
  <si>
    <t>Colby</t>
  </si>
  <si>
    <t>Colgate</t>
  </si>
  <si>
    <t>Columbia</t>
  </si>
  <si>
    <t>Cornell</t>
  </si>
  <si>
    <t>Davisdson</t>
  </si>
  <si>
    <t>Duke</t>
  </si>
  <si>
    <t>Georgetown</t>
  </si>
  <si>
    <t>Grinnell</t>
  </si>
  <si>
    <t>Hamilton</t>
  </si>
  <si>
    <t>Harvard</t>
  </si>
  <si>
    <t>Haverford</t>
  </si>
  <si>
    <t>Johns Hopkins</t>
  </si>
  <si>
    <t>Middlebury</t>
  </si>
  <si>
    <t>MIT</t>
  </si>
  <si>
    <t>Mount Holyoke</t>
  </si>
  <si>
    <t>Northwestern</t>
  </si>
  <si>
    <t>Oberlin</t>
  </si>
  <si>
    <t>Occidental</t>
  </si>
  <si>
    <t>Pomona</t>
  </si>
  <si>
    <t>Princeton</t>
  </si>
  <si>
    <t>Rice</t>
  </si>
  <si>
    <t>Smith</t>
  </si>
  <si>
    <t>Stanford</t>
  </si>
  <si>
    <t>Swarthnore</t>
  </si>
  <si>
    <t>U Michigan</t>
  </si>
  <si>
    <t>U of Chicago</t>
  </si>
  <si>
    <t>U of Rochester</t>
  </si>
  <si>
    <t>U Pennsylvania</t>
  </si>
  <si>
    <t>U Va</t>
  </si>
  <si>
    <t>UCLA</t>
  </si>
  <si>
    <t>UNC</t>
  </si>
  <si>
    <t>Vassar</t>
  </si>
  <si>
    <t>Washington U (MO)</t>
  </si>
  <si>
    <t>Washinton and Lee</t>
  </si>
  <si>
    <t>Wellesley</t>
  </si>
  <si>
    <t>Wesleyan (CT)</t>
  </si>
  <si>
    <t>Williams</t>
  </si>
  <si>
    <t>Yale</t>
  </si>
  <si>
    <t>For clustering these institutions into homogeneous groups, I would use clustering algorithms such as K-Means clustering. K-Means is an unsupervised learning technique that groups data points based on their similarities without using labeled outcomes. The algorithm works by assigning points to clusters and updating the cluster centroids iteratively until convergence. A possible result could be that institutions with similar SAT scores, acceptance rates, and graduation rates are grouped together. For instance, prestigious universities with high SAT scores and low acceptance rates may form one cluster, while universities with lower SAT scores and higher acceptance rates might form another.</t>
  </si>
  <si>
    <t>Clustering algorithms like K-Means work with numerical data. If the dataset includes categorical variables, such as "Female vs. Male" or "Public vs. Private" institutions, we need to convert these categories into numerical values before applying the algorithm. This process is called encoding. For example, we can assign 0 for "Female" and 1 for "Male", or 0 for "Public" and 1 for "Private." This allows the algorithm to process the categorical data in a meaningful way.</t>
  </si>
  <si>
    <t>Normalization ensures that all features are on the same scale, preventing large-valued features from dominating the clustering process. For example, in a dataset with features like age (ranging from 18 to 100) and income (ranging from NOK 10,000 to NOK 10,000,000), the large differences in income could overshadow the differences in age if not normalized. Two common methods for normalization are min-max normalization and z-score normalization. Min-max normalization scales the data to a fixed range, typically between [0, 1], where 0 corresponds to the minimum value and 1 to the maximum value. Z-score normalization, on the other hand, rescales the data so that it has a mean of 0 and a standard deviation of 1, standardizing the features.</t>
  </si>
  <si>
    <t>Task14</t>
  </si>
  <si>
    <t>Character</t>
  </si>
  <si>
    <t>Income</t>
  </si>
  <si>
    <t>Debt</t>
  </si>
  <si>
    <t>IQ</t>
  </si>
  <si>
    <t>Distance from Morty</t>
  </si>
  <si>
    <t>Morty</t>
  </si>
  <si>
    <t>?</t>
  </si>
  <si>
    <t>Rick</t>
  </si>
  <si>
    <t>Summer</t>
  </si>
  <si>
    <t>Jerry</t>
  </si>
  <si>
    <t>Beth</t>
  </si>
  <si>
    <t>Credit Approval Decisions</t>
  </si>
  <si>
    <t>Homeowner</t>
  </si>
  <si>
    <t>Credit Score</t>
  </si>
  <si>
    <t>Years of Credit History</t>
  </si>
  <si>
    <t>Revolving Balance</t>
  </si>
  <si>
    <t>Revolving Utilization</t>
  </si>
  <si>
    <t>Decision</t>
  </si>
  <si>
    <t>Y</t>
  </si>
  <si>
    <t>Approve</t>
  </si>
  <si>
    <t>Reject</t>
  </si>
  <si>
    <t>N</t>
  </si>
  <si>
    <t xml:space="preserve">To classify new credit applications as either "Approve" or "Reject" based on historical data, I would use classification algorithms such as decision tree, k-Nearest Neighbour, Bayesian classifier, or deep learning. These techniques fall under supervised learning, as we already have labeled records (training data) to start learning and predict the outcomes for new records. We can describe one of the techniques in more detail, the k-nearest neighbour algorithm. K-Nearest Neighbors (kNN) is an algorithm that classifies an observation by assigning it to the majority class around its k-nearest neighbors in the training dataset. For instance, consider this simple data set below (data is not normalized). We want to find out if Morty has a job, and we choose k=3. The closest neighbours to Morty in this case is Rick, Summer and Beth. Summer and Beth have a job, and Rick does not. Since the most have a job, we can state that Morty has a job. </t>
  </si>
  <si>
    <t>The output of this algorithm (kNN) would be a model that can classify new data from the "Additional Data" into "Approve" or "Reject" categories. This would be based on similarities in the dataset. For instance, applicants with high credit scores and low revolving utilization might be more likely to get an "Approve" classification.</t>
  </si>
  <si>
    <t>In supervised learning, the algorithm learns from labeled training data, meaning the target outcome is already known. The algorithm builds a model by mapping input features to the target outcome and then uses this model to predict the outcome for new cases (unseen data). In this task, supervised learning algorithms like KNN would use the historical dataset (with known decisions: "Approve" or "Reject") to learn patterns and make predictions on the new applications in the "Additional Data" worksheet.
In contrast, unsupervised learning algorithms work with unlabeled data. The goal is to find hidden patterns or groupings based on similarities in the data without prior knowledge of the outcome. Note that it is no guarantee that these similarities are meaningful or will be useful for a given purpose. For example, clustering algorithms like K-Means clustering would be used to group institutions in task 13 based on their characteristics without knowing in advance what those groups should look like.</t>
  </si>
  <si>
    <t>Actual class</t>
  </si>
  <si>
    <t>Predicated class</t>
  </si>
  <si>
    <t>3 (True Positive)</t>
  </si>
  <si>
    <t>0 (False Negative)</t>
  </si>
  <si>
    <t>1 (False Positive)</t>
  </si>
  <si>
    <t>2 (True Negative)</t>
  </si>
  <si>
    <t>True Positive Rate=</t>
  </si>
  <si>
    <t>True Negative Rate=</t>
  </si>
  <si>
    <t>Accuracy=</t>
  </si>
  <si>
    <t>It is useful to know the accuracy metrics of a classification model for two reasons: It gives an indication of the level of confidence one should have in the classifier's output, and it can be used to choose the "best" classification model when multiple models are built and trained.</t>
  </si>
  <si>
    <t>Task15</t>
  </si>
  <si>
    <t>Price,Age,KM,FuelType,HP,MetColor,Automatic,CC,Doors,Weight</t>
  </si>
  <si>
    <t>13500,23,46986,Diesel,90,1,0,2000,3,1165</t>
  </si>
  <si>
    <t>13750,23,72937,Diesel,90,1,0,2000,3,1165</t>
  </si>
  <si>
    <t>13950,24,41711,Diesel,90,1,0,2000,3,1165</t>
  </si>
  <si>
    <t>14950,26,48000,Diesel,90,0,0,2000,3,1165</t>
  </si>
  <si>
    <t>13750,30,38500,Diesel,90,0,0,2000,3,1170</t>
  </si>
  <si>
    <t>12950,32,61000,Diesel,90,0,0,2000,3,1170</t>
  </si>
  <si>
    <t>16900,27,94612,Diesel,90,1,0,2000,3,1245</t>
  </si>
  <si>
    <t>18600,30,75889,Diesel,90,1,0,2000,3,1245</t>
  </si>
  <si>
    <t>21500,27,19700,Petrol,192,0,0,1800,3,1185</t>
  </si>
  <si>
    <t>12950,23,71138,Diesel,69,0,0,1900,3,1105</t>
  </si>
  <si>
    <t>20950,25,31461,Petrol,192,0,0,1800,3,1185</t>
  </si>
  <si>
    <t>19950,22,43610,Petrol,192,0,0,1800,3,1185</t>
  </si>
  <si>
    <t>19600,25,32189,Petrol,192,0,0,1800,3,1185</t>
  </si>
  <si>
    <t>21500,31,23000,Petrol,192,1,0,1800,3,1185</t>
  </si>
  <si>
    <t>22500,32,34131,Petrol,192,1,0,1800,3,1185</t>
  </si>
  <si>
    <t>22000,28,18739,Petrol,192,0,0,1800,3,1185</t>
  </si>
  <si>
    <t>22750,30,34000,Petrol,192,1,0,1800,3,1185</t>
  </si>
  <si>
    <t>17950,24,21716,Petrol,110,1,0,1600,3,1105</t>
  </si>
  <si>
    <t>16750,24,25563,Petrol,110,0,0,1600,3,1065</t>
  </si>
  <si>
    <t>16950,30,64359,Petrol,110,1,0,1600,3,1105</t>
  </si>
  <si>
    <t>15950,30,67660,Petrol,110,1,0,1600,3,1105</t>
  </si>
  <si>
    <t>16950,29,43905,Petrol,110,0,1,1600,3,1170</t>
  </si>
  <si>
    <t>15950,28,56349,Petrol,110,1,0,1600,3,1120</t>
  </si>
  <si>
    <t>16950,28,32220,Petrol,110,1,0,1600,3,1120</t>
  </si>
  <si>
    <t>16250,29,25813,Petrol,110,1,0,1600,3,1120</t>
  </si>
  <si>
    <t>15950,25,28450,Petrol,110,1,0,1600,3,1120</t>
  </si>
  <si>
    <t>17495,27,34545,Petrol,110,1,0,1600,3,1120</t>
  </si>
  <si>
    <t>15750,29,41415,Petrol,110,1,0,1600,3,1120</t>
  </si>
  <si>
    <t>16950,28,44142,Petrol,110,0,0,1600,3,1120</t>
  </si>
  <si>
    <t>17950,30,11090,Petrol,110,1,0,1600,3,1120</t>
  </si>
  <si>
    <t>12950,29,9750,Petrol,97,1,0,1400,3,1100</t>
  </si>
  <si>
    <t>15750,22,35199,Petrol,97,1,0,1400,3,1100</t>
  </si>
  <si>
    <t>15950,27,29510,Petrol,97,1,0,1400,3,1100</t>
  </si>
  <si>
    <t>14950,26,32692,Petrol,97,1,0,1400,3,1100</t>
  </si>
  <si>
    <t>15500,22,41000,Petrol,97,1,0,1400,3,1100</t>
  </si>
  <si>
    <t>15750,26,43000,Petrol,97,0,0,1400,3,1100</t>
  </si>
  <si>
    <t>15950,25,25000,Petrol,97,0,0,1400,3,1100</t>
  </si>
  <si>
    <t>14950,23,10000,Petrol,97,1,0,1400,3,1100</t>
  </si>
  <si>
    <t>15750,32,25329,Petrol,97,1,0,1400,3,1100</t>
  </si>
  <si>
    <t>14750,27,27500,Petrol,97,0,0,1400,3,1100</t>
  </si>
  <si>
    <t>13950,22,49059,Petrol,97,0,0,1400,3,1100</t>
  </si>
  <si>
    <t>16750,27,44068,Petrol,97,1,0,1400,3,1100</t>
  </si>
  <si>
    <t>13950,22,46961,Petrol,97,0,0,1400,3,1100</t>
  </si>
  <si>
    <t>16950,27,110404,Diesel,90,0,0,2000,5,1255</t>
  </si>
  <si>
    <t>16950,22,100250,Diesel,90,0,0,2000,5,1255</t>
  </si>
  <si>
    <t>19000,23,84000,Diesel,90,0,0,2000,5,1270</t>
  </si>
  <si>
    <t>17950,27,79375,Diesel,90,1,0,2000,5,1255</t>
  </si>
  <si>
    <t>15800,22,75048,Petrol,97,1,0,1400,5,1110</t>
  </si>
  <si>
    <t>17950,22,72215,Diesel,90,1,0,2000,5,1255</t>
  </si>
  <si>
    <t>21950,31,64982,Petrol,192,1,0,1800,5,1195</t>
  </si>
  <si>
    <t>17950,22,62636,Diesel,90,1,0,2000,5,1255</t>
  </si>
  <si>
    <t>15750,30,57086,Petrol,97,1,0,1400,5,1110</t>
  </si>
  <si>
    <t>20500,26,56000,Petrol,110,1,1,1600,5,1180</t>
  </si>
  <si>
    <t>21950,27,49866,Petrol,192,1,0,1800,5,1195</t>
  </si>
  <si>
    <t>15500,25,49163,Petrol,110,0,1,1600,5,1165</t>
  </si>
  <si>
    <t>13250,32,45725,Petrol,110,1,0,1600,5,1075</t>
  </si>
  <si>
    <t>15250,28,43210,Petrol,97,0,0,1400,5,1110</t>
  </si>
  <si>
    <t>15250,26,43000,Petrol,97,0,0,1400,5,1110</t>
  </si>
  <si>
    <t>18950,23,39704,Petrol,110,1,1,1600,5,1180</t>
  </si>
  <si>
    <t>15999,30,38950,Petrol,110,1,0,1600,5,1130</t>
  </si>
  <si>
    <t>14950,22,37400,Petrol,97,1,0,1400,5,1110</t>
  </si>
  <si>
    <t>16500,27,37177,Petrol,110,0,0,1600,5,1130</t>
  </si>
  <si>
    <t>18750,31,36544,Petrol,110,1,0,1600,5,1130</t>
  </si>
  <si>
    <t>17950,30,33511,Petrol,110,1,0,1600,5,1130</t>
  </si>
  <si>
    <t>17950,27,32809,Petrol,97,1,0,1400,5,1110</t>
  </si>
  <si>
    <t>16950,26,32181,Petrol,110,1,0,1600,5,1075</t>
  </si>
  <si>
    <t>18950,28,30993,Petrol,110,1,0,1600,5,1130</t>
  </si>
  <si>
    <t>14950,22,30400,Petrol,97,1,0,1400,5,1110</t>
  </si>
  <si>
    <t>22250,22,30000,Diesel,110,1,0,2000,5,1275</t>
  </si>
  <si>
    <t>15950,25,29719,Petrol,97,1,0,1400,5,1110</t>
  </si>
  <si>
    <t>15950,28,29206,Petrol,97,1,0,1400,5,1110</t>
  </si>
  <si>
    <t>12995,32,29198,Petrol,97,1,0,1400,5,1060</t>
  </si>
  <si>
    <t>18950,28,28817,Petrol,110,1,0,1598,5,1130</t>
  </si>
  <si>
    <t>15750,23,28227,Petrol,97,1,0,1400,5,1110</t>
  </si>
  <si>
    <t>19950,28,28000,Petrol,110,0,0,1600,5,1130</t>
  </si>
  <si>
    <t>16950,23,28000,Petrol,110,1,0,1600,5,1115</t>
  </si>
  <si>
    <t>18750,31,25266,Petrol,110,1,0,1600,5,1130</t>
  </si>
  <si>
    <t>18450,27,23489,Petrol,110,0,0,1600,5,1115</t>
  </si>
  <si>
    <t>16895,29,22575,Petrol,110,1,0,1600,5,1115</t>
  </si>
  <si>
    <t>14900,30,22000,Petrol,97,1,0,1400,5,1110</t>
  </si>
  <si>
    <t>18950,25,20019,Petrol,110,1,1,1600,5,1180</t>
  </si>
  <si>
    <t>17250,29,20000,Petrol,110,1,0,1600,5,1115</t>
  </si>
  <si>
    <t>15450,25,17003,Petrol,97,1,0,1400,5,1110</t>
  </si>
  <si>
    <t>17950,31,16238,Petrol,110,1,1,1600,5,1180</t>
  </si>
  <si>
    <t>16650,25,15414,Petrol,97,1,0,1400,5,1110</t>
  </si>
  <si>
    <t>17450,28,8537,Petrol,110,1,0,1600,5,1130</t>
  </si>
  <si>
    <t>14900,30,7000,Petrol,97,1,0,1400,5,1100</t>
  </si>
  <si>
    <t>17950,20,66966,Diesel,90,1,0,2000,3,1245</t>
  </si>
  <si>
    <t>15950,19,51884,Petrol,97,1,0,1400,3,1100</t>
  </si>
  <si>
    <t>21950,19,50005,Diesel,110,1,0,2000,3,1265</t>
  </si>
  <si>
    <t>16450,20,48110,Petrol,97,1,0,1400,3,1100</t>
  </si>
  <si>
    <t>22250,20,37500,Diesel,90,1,0,2000,3,1260</t>
  </si>
  <si>
    <t>19950,16,34472,Diesel,90,1,0,1995,3,1260</t>
  </si>
  <si>
    <t>15950,20,33329,Petrol,97,1,0,1400,3,1100</t>
  </si>
  <si>
    <t>18900,20,31850,Petrol,110,0,0,1600,3,1120</t>
  </si>
  <si>
    <t>19950,17,30351,Diesel,90,1,0,1995,3,1260</t>
  </si>
  <si>
    <t>15950,19,29435,Petrol,97,1,0,1400,3,1100</t>
  </si>
  <si>
    <t>15950,19,25948,Petrol,97,1,0,1400,3,1100</t>
  </si>
  <si>
    <t>18750,11,24500,Petrol,110,1,0,1600,3,1120</t>
  </si>
  <si>
    <t>17450,18,23902,Petrol,97,1,0,1400,3,1100</t>
  </si>
  <si>
    <t>18990,20,23175,Petrol,110,1,0,1600,3,1120</t>
  </si>
  <si>
    <t>16250,19,19200,Petrol,97,1,0,1400,3,1100</t>
  </si>
  <si>
    <t>18500,13,18000,Petrol,71,0,0,1400,3,1125</t>
  </si>
  <si>
    <t>18500,11,16123,Petrol,110,1,0,1600,3,1105</t>
  </si>
  <si>
    <t>19450,11,14635,Petrol,110,1,1,1600,3,1155</t>
  </si>
  <si>
    <t>16950,19,13748,Petrol,97,1,0,1400,3,1100</t>
  </si>
  <si>
    <t>18800,14,11500,Petrol,110,1,0,1600,3,1045</t>
  </si>
  <si>
    <t>17450,17,10000,Petrol,97,1,0,1400,3,1100</t>
  </si>
  <si>
    <t>17950,20,7187,Petrol,110,1,0,1600,3,1105</t>
  </si>
  <si>
    <t>32500,4,1,Diesel,116,0,0,2000,5,1480</t>
  </si>
  <si>
    <t>31000,4,4000,Diesel,116,1,0,2000,5,1480</t>
  </si>
  <si>
    <t>31275,4,1500,Diesel,116,1,0,2000,5,1480</t>
  </si>
  <si>
    <t>24950,8,13253,Diesel,116,1,0,2000,5,1320</t>
  </si>
  <si>
    <t>22950,7,10000,Diesel,116,1,0,2000,5,1270</t>
  </si>
  <si>
    <t>24990,8,6000,Diesel,90,1,0,2000,5,1280</t>
  </si>
  <si>
    <t>21950,8,10841,Diesel,90,1,0,2000,5,1270</t>
  </si>
  <si>
    <t>17900,7,1,Petrol,110,1,0,1600,3,1105</t>
  </si>
  <si>
    <t>19250,20,63000,Diesel,90,1,0,2000,5,1255</t>
  </si>
  <si>
    <t>22250,17,57313,Diesel,110,1,0,2000,5,1275</t>
  </si>
  <si>
    <t>18950,13,57037,Petrol,110,0,0,1600,5,1115</t>
  </si>
  <si>
    <t>19950,19,51099,Diesel,90,1,0,2000,5,1255</t>
  </si>
  <si>
    <t>16350,14,40010,Petrol,110,1,0,1600,5,1115</t>
  </si>
  <si>
    <t>18950,20,39115,Petrol,110,1,0,1600,5,1130</t>
  </si>
  <si>
    <t>16950,17,36012,Petrol,110,0,0,1600,5,1130</t>
  </si>
  <si>
    <t>21750,16,36000,Petrol,110,1,0,1600,5,1130</t>
  </si>
  <si>
    <t>15950,20,36000,Petrol,110,1,0,1600,5,1075</t>
  </si>
  <si>
    <t>16500,20,35000,Petrol,97,1,0,1400,5,1110</t>
  </si>
  <si>
    <t>17950,17,33740,Petrol,97,1,0,1400,5,1135</t>
  </si>
  <si>
    <t>15850,13,33477,Petrol,110,1,0,1600,5,1075</t>
  </si>
  <si>
    <t>16250,20,32627,Petrol,97,1,0,1400,5,1110</t>
  </si>
  <si>
    <t>15950,20,29797,Petrol,97,1,0,1400,5,1110</t>
  </si>
  <si>
    <t>16250,19,29441,Petrol,97,1,0,1400,5,1110</t>
  </si>
  <si>
    <t>15950,13,29371,Petrol,110,1,0,1600,4,1105</t>
  </si>
  <si>
    <t>16500,20,29000,Petrol,97,0,0,1400,5,1110</t>
  </si>
  <si>
    <t>16500,19,27821,Petrol,97,0,0,1400,5,1110</t>
  </si>
  <si>
    <t>18450,19,27371,Petrol,97,0,0,1400,5,1135</t>
  </si>
  <si>
    <t>16250,13,25170,Petrol,110,1,0,1600,5,1105</t>
  </si>
  <si>
    <t>23000,11,25000,Diesel,116,1,0,2000,5,1320</t>
  </si>
  <si>
    <t>19900,20,23000,Petrol,110,1,0,1600,5,1130</t>
  </si>
  <si>
    <t>16450,20,22588,Petrol,97,1,0,1400,5,1110</t>
  </si>
  <si>
    <t>23950,19,21684,Petrol,192,1,0,1800,5,1185</t>
  </si>
  <si>
    <t>19950,13,21428,Petrol,110,1,0,1600,5,1130</t>
  </si>
  <si>
    <t>18500,16,20629,Petrol,110,1,0,1600,4,1090</t>
  </si>
  <si>
    <t>18950,15,20270,Petrol,110,1,0,1600,5,1130</t>
  </si>
  <si>
    <t>16450,16,20105,Petrol,97,0,0,1400,5,1110</t>
  </si>
  <si>
    <t>20500,20,20000,Petrol,110,0,1,1600,5,1165</t>
  </si>
  <si>
    <t>24500,13,19988,Petrol,110,1,0,1600,5,1130</t>
  </si>
  <si>
    <t>19450,19,18328,Petrol,110,0,0,1600,5,1130</t>
  </si>
  <si>
    <t>20950,14,17896,Petrol,110,1,1,1600,4,1150</t>
  </si>
  <si>
    <t>17200,20,17300,Petrol,97,1,0,1400,5,1110</t>
  </si>
  <si>
    <t>19950,19,17038,Petrol,110,0,0,1600,5,1130</t>
  </si>
  <si>
    <t>18450,10,13747,Petrol,97,1,0,1400,5,1110</t>
  </si>
  <si>
    <t>19500,12,13634,Petrol,110,1,0,1600,5,1115</t>
  </si>
  <si>
    <t>21750,13,13178,Petrol,110,1,0,1600,5,1130</t>
  </si>
  <si>
    <t>16868,15,13157,Petrol,97,1,0,1400,4,1085</t>
  </si>
  <si>
    <t>19500,16,13000,Petrol,110,1,0,1600,4,1105</t>
  </si>
  <si>
    <t>18900,11,12500,Petrol,110,1,0,1600,5,1115</t>
  </si>
  <si>
    <t>19750,17,11999,Petrol,110,1,0,1600,5,1130</t>
  </si>
  <si>
    <t>19750,16,11754,Petrol,110,0,1,1600,5,1180</t>
  </si>
  <si>
    <t>18950,16,11000,Petrol,110,1,0,1600,4,1105</t>
  </si>
  <si>
    <t>20750,17,10000,Petrol,110,0,0,1598,5,1105</t>
  </si>
  <si>
    <t>19600,9,7650,Petrol,110,1,0,1600,5,1115</t>
  </si>
  <si>
    <t>19500,14,6500,Petrol,110,1,0,1600,4,1100</t>
  </si>
  <si>
    <t>17650,11,6155,Petrol,97,1,0,1400,5,1110</t>
  </si>
  <si>
    <t>19950,14,6000,Petrol,110,0,0,1600,5,1130</t>
  </si>
  <si>
    <t>19950,14,5459,Petrol,110,1,0,1600,5,1130</t>
  </si>
  <si>
    <t>20950,14,5278,Petrol,110,1,1,1600,4,1150</t>
  </si>
  <si>
    <t>20500,12,5000,Petrol,110,1,0,1600,5,1130</t>
  </si>
  <si>
    <t>17795,9,1,Petrol,98,1,0,1400,4,1065</t>
  </si>
  <si>
    <t>18245,9,1,Petrol,110,1,0,1600,5,1075</t>
  </si>
  <si>
    <t>23750,8,11000,Petrol,110,1,0,1600,5,1130</t>
  </si>
  <si>
    <t>19500,8,10077,Petrol,97,1,0,1400,5,1110</t>
  </si>
  <si>
    <t>18950,8,10000,Petrol,97,1,0,1400,5,1110</t>
  </si>
  <si>
    <t>21950,8,9788,Petrol,110,1,0,1600,5,1130</t>
  </si>
  <si>
    <t>19950,8,8574,Petrol,110,1,0,1600,5,1130</t>
  </si>
  <si>
    <t>18950,8,7000,Petrol,110,0,0,1600,5,1115</t>
  </si>
  <si>
    <t>19950,7,6250,Petrol,110,1,0,1600,5,1115</t>
  </si>
  <si>
    <t>21950,8,5000,Petrol,110,1,0,1600,5,1130</t>
  </si>
  <si>
    <t>22500,6,3000,Petrol,110,0,0,1600,5,1130</t>
  </si>
  <si>
    <t>18500,7,2000,Petrol,110,0,0,1600,5,1075</t>
  </si>
  <si>
    <t>18700,7,450,Petrol,97,1,0,1400,5,1110</t>
  </si>
  <si>
    <t>21125,2,225,Petrol,97,1,0,1400,5,1110</t>
  </si>
  <si>
    <t>21500,2,15,Petrol,110,1,0,1600,5,1130</t>
  </si>
  <si>
    <t>17795,1,1,Petrol,98,1,0,1400,4,1100</t>
  </si>
  <si>
    <t>18245,1,1,Petrol,110,1,0,1600,5,1075</t>
  </si>
  <si>
    <t>6950,43,243000,Diesel,69,0,0,1900,3,1110</t>
  </si>
  <si>
    <t>9500,38,180638,Diesel,90,0,0,2000,4,1160</t>
  </si>
  <si>
    <t>11950,40,179860,Diesel,90,1,0,2000,5,1205</t>
  </si>
  <si>
    <t>7750,43,178858,CNG,110,0,0,1600,3,1084</t>
  </si>
  <si>
    <t>11950,40,161000,Diesel,69,1,0,1900,3,1105</t>
  </si>
  <si>
    <t>4350,44,158320,Diesel,69,0,0,1800,5,1110</t>
  </si>
  <si>
    <t>4750,44,131273,Diesel,69,1,0,1800,5,1110</t>
  </si>
  <si>
    <t>11750,40,130062,Diesel,69,1,0,1900,5,1140</t>
  </si>
  <si>
    <t>13250,41,123425,Diesel,69,1,0,1900,5,1140</t>
  </si>
  <si>
    <t>11950,37,118217,Petrol,110,1,0,1600,5,1075</t>
  </si>
  <si>
    <t>11900,44,110000,Diesel,69,1,0,1900,5,1095</t>
  </si>
  <si>
    <t>14750,39,108847,Diesel,90,1,0,2000,5,1205</t>
  </si>
  <si>
    <t>9950,42,105699,Petrol,97,1,0,1400,3,1025</t>
  </si>
  <si>
    <t>11950,39,98823,CNG,110,1,0,1600,5,1119</t>
  </si>
  <si>
    <t>11495,44,96829,Petrol,110,1,0,1600,5,1075</t>
  </si>
  <si>
    <t>11250,40,96518,Petrol,97,1,0,1400,3,1025</t>
  </si>
  <si>
    <t>10500,42,92204,Petrol,110,1,0,1600,5,1075</t>
  </si>
  <si>
    <t>10450,35,91456,Diesel,69,1,0,1900,3,1110</t>
  </si>
  <si>
    <t>12950,43,89968,Diesel,69,1,0,1900,5,1140</t>
  </si>
  <si>
    <t>11500,44,89757,Petrol,110,1,0,1600,3,1045</t>
  </si>
  <si>
    <t>12500,40,85389,Petrol,110,1,0,1600,5,1075</t>
  </si>
  <si>
    <t>10950,43,85017,Petrol,97,0,0,1400,5,1060</t>
  </si>
  <si>
    <t>11450,41,84312,Petrol,110,0,0,1600,5,1080</t>
  </si>
  <si>
    <t>11950,37,82743,CNG,110,1,0,1600,5,1121</t>
  </si>
  <si>
    <t>13250,41,81106,Diesel,69,1,0,1900,5,1140</t>
  </si>
  <si>
    <t>14750,40,80425,Diesel,90,1,0,2000,5,1205</t>
  </si>
  <si>
    <t>11790,34,78677,Petrol,110,1,1,1600,5,1105</t>
  </si>
  <si>
    <t>11450,40,78425,Petrol,110,1,0,1600,5,1075</t>
  </si>
  <si>
    <t>13500,33,78108,Diesel,90,1,0,2000,3,1170</t>
  </si>
  <si>
    <t>10950,33,77321,Petrol,110,1,0,1600,5,1075</t>
  </si>
  <si>
    <t>13500,33,75699,Diesel,69,0,0,1900,3,1105</t>
  </si>
  <si>
    <t>10950,41,75697,Petrol,97,1,0,1400,3,1025</t>
  </si>
  <si>
    <t>10950,44,74846,Petrol,97,1,0,1400,3,1025</t>
  </si>
  <si>
    <t>12950,38,74319,Petrol,110,1,0,1600,5,1075</t>
  </si>
  <si>
    <t>11950,43,74285,Petrol,110,1,0,1600,5,1075</t>
  </si>
  <si>
    <t>12450,44,74172,Petrol,110,1,0,1600,5,1615</t>
  </si>
  <si>
    <t>11950,40,73042,Petrol,110,1,0,1598,5,1075</t>
  </si>
  <si>
    <t>14950,44,71793,CNG,110,1,0,1600,4,1067</t>
  </si>
  <si>
    <t>12450,35,71200,Petrol,110,1,0,1600,5,1075</t>
  </si>
  <si>
    <t>12950,38,67805,Petrol,110,1,0,1600,5,1075</t>
  </si>
  <si>
    <t>11950,35,65988,Petrol,110,1,0,1600,3,1040</t>
  </si>
  <si>
    <t>11690,34,65345,Petrol,97,1,0,1400,5,1060</t>
  </si>
  <si>
    <t>12450,42,64564,Petrol,110,1,0,1600,5,1080</t>
  </si>
  <si>
    <t>12750,36,63459,Petrol,97,1,0,1400,5,1060</t>
  </si>
  <si>
    <t>11925,44,63451,Petrol,97,0,0,1400,3,1025</t>
  </si>
  <si>
    <t>12950,33,62000,Petrol,110,1,0,1600,5,1075</t>
  </si>
  <si>
    <t>11950,42,61300,Petrol,97,1,0,1400,3,1030</t>
  </si>
  <si>
    <t>12900,41,61200,Petrol,110,1,0,1600,3,1045</t>
  </si>
  <si>
    <t>11900,41,61000,Petrol,110,0,0,1600,5,1075</t>
  </si>
  <si>
    <t>11650,38,60829,Petrol,110,1,0,1600,5,1075</t>
  </si>
  <si>
    <t>10950,44,60500,Petrol,110,0,0,1600,5,1075</t>
  </si>
  <si>
    <t>13950,35,59500,Diesel,69,1,0,1900,3,1110</t>
  </si>
  <si>
    <t>13950,44,59000,Petrol,110,0,1,1600,5,1110</t>
  </si>
  <si>
    <t>11950,40,58954,Petrol,110,1,0,1600,5,1080</t>
  </si>
  <si>
    <t>10950,38,58798,Petrol,110,1,0,1600,5,1075</t>
  </si>
  <si>
    <t>12450,38,58363,Petrol,110,1,0,1600,3,1055</t>
  </si>
  <si>
    <t>11950,43,58277,Petrol,110,1,0,1600,3,1045</t>
  </si>
  <si>
    <t>13500,33,57711,Diesel,90,1,0,2000,3,1165</t>
  </si>
  <si>
    <t>11690,33,57269,Petrol,110,1,0,1600,5,1075</t>
  </si>
  <si>
    <t>13500,39,56001,Petrol,110,1,0,1600,5,1075</t>
  </si>
  <si>
    <t>11950,42,55968,Petrol,110,0,0,1600,3,1050</t>
  </si>
  <si>
    <t>12900,39,55678,Petrol,110,1,0,1600,4,1030</t>
  </si>
  <si>
    <t>13500,43,55539,Petrol,110,1,0,1600,5,1085</t>
  </si>
  <si>
    <t>11750,42,55400,Petrol,110,0,0,1600,5,1075</t>
  </si>
  <si>
    <t>11750,33,55350,Petrol,110,0,0,1600,5,1075</t>
  </si>
  <si>
    <t>10850,43,54600,Petrol,110,0,0,1600,4,1030</t>
  </si>
  <si>
    <t>11750,43,53773,Petrol,110,1,0,1600,5,1075</t>
  </si>
  <si>
    <t>14950,42,53719,Petrol,110,1,1,1600,5,1105</t>
  </si>
  <si>
    <t>9940,39,53644,Petrol,110,1,0,1600,5,1075</t>
  </si>
  <si>
    <t>12900,42,53350,Petrol,110,0,0,1600,5,1075</t>
  </si>
  <si>
    <t>13500,38,53000,Petrol,110,1,0,1600,5,1075</t>
  </si>
  <si>
    <t>11750,44,52084,Petrol,97,1,0,1400,3,1025</t>
  </si>
  <si>
    <t>11950,44,52000,Petrol,97,0,0,1400,3,1025</t>
  </si>
  <si>
    <t>13450,33,51945,Petrol,110,1,0,1600,5,1075</t>
  </si>
  <si>
    <t>11950,41,51732,Petrol,97,1,0,1400,3,1025</t>
  </si>
  <si>
    <t>12495,39,50873,Petrol,110,1,0,1600,5,1075</t>
  </si>
  <si>
    <t>13500,41,50856,Petrol,110,0,0,1600,4,1030</t>
  </si>
  <si>
    <t>12750,40,50640,Petrol,110,1,0,1600,5,1075</t>
  </si>
  <si>
    <t>12000,39,50000,Petrol,97,1,0,1400,5,1060</t>
  </si>
  <si>
    <t>11950,38,49500,Petrol,110,1,0,1600,5,1075</t>
  </si>
  <si>
    <t>12495,44,49332,Petrol,110,1,0,1600,5,1080</t>
  </si>
  <si>
    <t>12450,34,49291,Petrol,110,1,0,1600,3,1040</t>
  </si>
  <si>
    <t>14750,40,48952,Diesel,90,1,0,2000,5,1205</t>
  </si>
  <si>
    <t>10950,39,48945,Petrol,110,0,0,1600,3,1040</t>
  </si>
  <si>
    <t>13500,33,48928,Diesel,69,1,0,1900,3,1105</t>
  </si>
  <si>
    <t>12950,38,48197,Petrol,110,1,0,1600,5,1075</t>
  </si>
  <si>
    <t>13500,35,48052,Diesel,69,1,0,1900,3,1105</t>
  </si>
  <si>
    <t>13450,34,48011,Petrol,110,1,0,1600,4,1030</t>
  </si>
  <si>
    <t>13500,43,48000,Petrol,110,1,0,1600,5,1075</t>
  </si>
  <si>
    <t>11480,41,47350,Petrol,110,1,0,1600,5,1075</t>
  </si>
  <si>
    <t>13450,39,46821,Petrol,97,1,0,1400,5,1060</t>
  </si>
  <si>
    <t>11495,39,46694,Petrol,110,0,0,1600,3,1040</t>
  </si>
  <si>
    <t>12750,43,46515,Petrol,97,0,0,1400,5,1025</t>
  </si>
  <si>
    <t>14990,38,46327,Petrol,110,1,0,1600,3,1055</t>
  </si>
  <si>
    <t>12950,35,46304,Petrol,97,1,0,1400,5,1060</t>
  </si>
  <si>
    <t>12950,40,45886,Petrol,110,1,0,1600,5,1080</t>
  </si>
  <si>
    <t>12850,39,45713,Petrol,97,1,0,1400,5,1085</t>
  </si>
  <si>
    <t>13950,40,45600,Petrol,110,1,1,1600,5,1105</t>
  </si>
  <si>
    <t>11950,41,45287,Petrol,110,1,0,1600,5,1075</t>
  </si>
  <si>
    <t>12950,39,45081,Petrol,110,1,0,1600,5,1075</t>
  </si>
  <si>
    <t>11700,40,44830,Petrol,110,1,0,1600,5,1075</t>
  </si>
  <si>
    <t>9950,37,44757,Petrol,97,0,0,1400,3,1025</t>
  </si>
  <si>
    <t>11895,44,44218,Petrol,97,1,0,1400,5,1060</t>
  </si>
  <si>
    <t>12950,43,43632,Petrol,110,1,0,1600,5,1075</t>
  </si>
  <si>
    <t>12500,36,43427,Petrol,110,1,0,1600,3,1040</t>
  </si>
  <si>
    <t>13875,39,43254,Petrol,110,1,0,1600,5,1075</t>
  </si>
  <si>
    <t>10500,35,43000,Petrol,110,0,0,1600,3,1050</t>
  </si>
  <si>
    <t>12295,33,42823,Petrol,110,1,0,1600,5,1075</t>
  </si>
  <si>
    <t>13950,42,42560,Petrol,110,1,0,1600,5,1080</t>
  </si>
  <si>
    <t>10950,38,41754,Petrol,110,0,0,1600,3,1040</t>
  </si>
  <si>
    <t>12950,44,41499,CNG,110,1,0,1600,5,1103</t>
  </si>
  <si>
    <t>12850,40,41339,Petrol,110,1,0,1600,5,1080</t>
  </si>
  <si>
    <t>13995,35,41000,Petrol,110,1,0,1600,5,1075</t>
  </si>
  <si>
    <t>13750,39,40000,Petrol,110,1,0,1600,3,1055</t>
  </si>
  <si>
    <t>12750,37,39757,Petrol,110,1,0,1600,5,1075</t>
  </si>
  <si>
    <t>12500,41,39659,Petrol,110,1,0,1600,3,1045</t>
  </si>
  <si>
    <t>13950,43,39650,Petrol,110,0,0,1600,3,1055</t>
  </si>
  <si>
    <t>11500,39,39524,Petrol,97,1,0,1398,3,1025</t>
  </si>
  <si>
    <t>13950,44,39516,Petrol,97,1,0,1400,5,1060</t>
  </si>
  <si>
    <t>11895,41,39439,Petrol,97,0,0,1400,5,1060</t>
  </si>
  <si>
    <t>9950,44,39000,Petrol,97,1,0,1400,3,1025</t>
  </si>
  <si>
    <t>13500,42,38932,Petrol,110,1,0,1600,3,1040</t>
  </si>
  <si>
    <t>11450,37,38812,Petrol,97,0,0,1400,3,1025</t>
  </si>
  <si>
    <t>12450,42,38665,Petrol,110,1,0,1600,5,1075</t>
  </si>
  <si>
    <t>12950,40,38653,Petrol,110,1,0,1600,5,1080</t>
  </si>
  <si>
    <t>13995,44,38461,Petrol,110,1,0,1600,5,1080</t>
  </si>
  <si>
    <t>11750,42,38078,Petrol,97,0,0,1400,3,1025</t>
  </si>
  <si>
    <t>11650,39,37782,Petrol,97,1,0,1400,5,1060</t>
  </si>
  <si>
    <t>9950,43,37576,Petrol,97,0,0,1400,3,1030</t>
  </si>
  <si>
    <t>13950,41,37533,Petrol,110,1,0,1600,5,1075</t>
  </si>
  <si>
    <t>12950,44,37389,Petrol,110,1,0,1600,5,1080</t>
  </si>
  <si>
    <t>10950,38,37320,Petrol,97,1,0,1400,3,1025</t>
  </si>
  <si>
    <t>9900,42,37000,Petrol,97,1,0,1400,3,1025</t>
  </si>
  <si>
    <t>11950,44,37000,Petrol,110,0,0,1600,4,1075</t>
  </si>
  <si>
    <t>11990,40,36566,Petrol,110,0,0,1600,5,1090</t>
  </si>
  <si>
    <t>10750,36,36269,Petrol,110,1,0,1600,5,1075</t>
  </si>
  <si>
    <t>13950,37,36074,Petrol,110,1,1,1600,5,1075</t>
  </si>
  <si>
    <t>11250,44,36066,Petrol,110,1,0,1600,3,1040</t>
  </si>
  <si>
    <t>12950,39,34599,Petrol,110,1,0,1600,5,1075</t>
  </si>
  <si>
    <t>11950,41,34000,Petrol,110,1,0,1600,5,1075</t>
  </si>
  <si>
    <t>10950,42,33623,Petrol,97,1,0,1400,3,1025</t>
  </si>
  <si>
    <t>12950,33,33591,Petrol,110,1,0,1600,5,1075</t>
  </si>
  <si>
    <t>12950,35,33258,Petrol,110,1,0,1600,5,1075</t>
  </si>
  <si>
    <t>11695,43,33113,Petrol,110,1,0,1600,5,1075</t>
  </si>
  <si>
    <t>11000,41,33000,Petrol,110,1,1,1600,5,1075</t>
  </si>
  <si>
    <t>13950,35,32941,Petrol,110,1,0,1600,5,1080</t>
  </si>
  <si>
    <t>11950,38,32781,Petrol,110,0,0,1600,5,1075</t>
  </si>
  <si>
    <t>11750,40,32532,Petrol,110,1,0,1600,3,1040</t>
  </si>
  <si>
    <t>12400,34,32431,Petrol,97,1,0,1400,5,1060</t>
  </si>
  <si>
    <t>12500,35,32000,Petrol,110,0,0,1600,3,1040</t>
  </si>
  <si>
    <t>12900,33,31000,Petrol,110,1,0,1600,5,1075</t>
  </si>
  <si>
    <t>12200,41,30989,Petrol,110,0,0,1600,3,1045</t>
  </si>
  <si>
    <t>12750,43,30742,Petrol,110,1,0,1600,3,1040</t>
  </si>
  <si>
    <t>11950,42,30190,Petrol,110,1,0,1600,5,1075</t>
  </si>
  <si>
    <t>11900,41,29716,Petrol,116,1,0,1600,5,1075</t>
  </si>
  <si>
    <t>11950,44,29716,Petrol,110,1,1,1600,3,1070</t>
  </si>
  <si>
    <t>14950,42,29640,Petrol,110,0,0,1600,3,1055</t>
  </si>
  <si>
    <t>11950,41,29056,Petrol,97,1,0,1400,5,1060</t>
  </si>
  <si>
    <t>12950,33,28715,Petrol,110,1,0,1600,5,1075</t>
  </si>
  <si>
    <t>14950,41,28571,Petrol,110,0,0,1600,5,1090</t>
  </si>
  <si>
    <t>13450,40,28362,Petrol,110,1,0,1600,3,1040</t>
  </si>
  <si>
    <t>13750,38,28150,Petrol,110,1,0,1600,5,1075</t>
  </si>
  <si>
    <t>12950,43,27301,Petrol,110,1,0,1600,3,1040</t>
  </si>
  <si>
    <t>12750,33,27240,Petrol,110,1,0,1600,5,1075</t>
  </si>
  <si>
    <t>11895,39,27170,Petrol,97,1,0,1400,5,1060</t>
  </si>
  <si>
    <t>9950,42,27141,Petrol,97,1,0,1400,5,1060</t>
  </si>
  <si>
    <t>12450,38,26262,Petrol,110,1,0,1600,5,1075</t>
  </si>
  <si>
    <t>12500,38,26000,Petrol,97,1,0,1400,5,1060</t>
  </si>
  <si>
    <t>14950,43,25228,Petrol,110,1,0,1600,3,1045</t>
  </si>
  <si>
    <t>13750,39,25062,Petrol,110,1,0,1600,5,1080</t>
  </si>
  <si>
    <t>12695,39,24723,Petrol,110,1,1,1600,4,1060</t>
  </si>
  <si>
    <t>14990,33,24650,Petrol,110,1,0,1600,3,1055</t>
  </si>
  <si>
    <t>12750,43,24553,Petrol,110,1,0,1600,5,1080</t>
  </si>
  <si>
    <t>14350,41,24475,Petrol,110,1,0,1600,5,1030</t>
  </si>
  <si>
    <t>12950,39,24444,Petrol,110,1,0,1600,3,1040</t>
  </si>
  <si>
    <t>11500,35,24011,Petrol,97,0,0,1400,3,1025</t>
  </si>
  <si>
    <t>11950,41,24000,Petrol,97,1,0,1400,3,1025</t>
  </si>
  <si>
    <t>13450,40,23616,Petrol,110,1,0,1600,5,1075</t>
  </si>
  <si>
    <t>12900,38,22865,Petrol,110,1,0,1600,5,1075</t>
  </si>
  <si>
    <t>10500,41,22780,Petrol,86,1,0,1300,5,1035</t>
  </si>
  <si>
    <t>10950,35,21904,Petrol,97,0,0,1400,3,1025</t>
  </si>
  <si>
    <t>11950,41,21651,Petrol,97,0,0,1400,3,1025</t>
  </si>
  <si>
    <t>11450,37,21500,Petrol,110,1,0,1600,5,1030</t>
  </si>
  <si>
    <t>13250,44,21027,Petrol,110,1,0,1600,5,1080</t>
  </si>
  <si>
    <t>10250,39,18500,Petrol,110,0,0,1600,4,1030</t>
  </si>
  <si>
    <t>13995,35,18000,Petrol,110,1,0,1600,5,1075</t>
  </si>
  <si>
    <t>11950,40,17051,Petrol,97,0,0,1400,5,1060</t>
  </si>
  <si>
    <t>13250,33,16512,Petrol,97,1,0,1400,5,1085</t>
  </si>
  <si>
    <t>12950,40,16325,Petrol,110,1,0,1600,5,1080</t>
  </si>
  <si>
    <t>11750,38,16000,Petrol,97,1,0,1400,5,1060</t>
  </si>
  <si>
    <t>11500,39,12000,Petrol,110,1,0,1600,5,1075</t>
  </si>
  <si>
    <t>13500,43,10000,Petrol,97,1,0,1400,5,1060</t>
  </si>
  <si>
    <t>6500,53,216000,Diesel,69,0,0,1900,3,1110</t>
  </si>
  <si>
    <t>6400,51,198167,Diesel,69,0,0,1900,4,1095</t>
  </si>
  <si>
    <t>7000,53,176000,Diesel,69,0,0,1900,3,1105</t>
  </si>
  <si>
    <t>7750,54,174139,Diesel,72,1,0,2000,4,1100</t>
  </si>
  <si>
    <t>8900,45,174000,Diesel,69,1,0,1900,5,1095</t>
  </si>
  <si>
    <t>8500,55,150000,CNG,110,1,0,1600,3,1075</t>
  </si>
  <si>
    <t>8950,54,149329,Diesel,72,1,0,2000,5,1135</t>
  </si>
  <si>
    <t>9900,51,146736,Petrol,110,1,0,1600,5,1080</t>
  </si>
  <si>
    <t>10250,53,143513,Diesel,69,0,0,1900,5,1140</t>
  </si>
  <si>
    <t>9250,48,142130,CNG,110,0,0,1600,5,1119</t>
  </si>
  <si>
    <t>7750,48,140700,Diesel,69,1,0,1900,5,1110</t>
  </si>
  <si>
    <t>9450,54,138394,Diesel,69,1,0,1900,4,1095</t>
  </si>
  <si>
    <t>7750,55,137000,Diesel,72,1,0,2000,5,1135</t>
  </si>
  <si>
    <t>8250,52,135258,Diesel,69,1,0,1900,5,1140</t>
  </si>
  <si>
    <t>9950,49,131364,Petrol,110,1,0,1600,5,1075</t>
  </si>
  <si>
    <t>4450,56,129155,Diesel,69,0,0,1800,5,1110</t>
  </si>
  <si>
    <t>9950,50,126110,Petrol,110,0,0,1600,3,1055</t>
  </si>
  <si>
    <t>9000,48,119742,Petrol,110,1,0,1600,5,1080</t>
  </si>
  <si>
    <t>9950,53,117913,Diesel,69,1,0,1900,5,1110</t>
  </si>
  <si>
    <t>12450,47,117430,Diesel,90,1,0,2000,3,1165</t>
  </si>
  <si>
    <t>10500,55,117175,Petrol,110,1,0,1600,4,1035</t>
  </si>
  <si>
    <t>10750,54,115558,Petrol,110,1,0,1600,4,1035</t>
  </si>
  <si>
    <t>8950,53,115113,Petrol,97,1,0,1400,3,1025</t>
  </si>
  <si>
    <t>10500,54,115046,Diesel,69,1,0,1900,5,1140</t>
  </si>
  <si>
    <t>5150,56,113997,Diesel,72,1,0,2000,5,1135</t>
  </si>
  <si>
    <t>10950,49,107859,Petrol,97,0,0,1400,5,1060</t>
  </si>
  <si>
    <t>9450,52,104805,Petrol,97,1,0,1400,3,1025</t>
  </si>
  <si>
    <t>9950,54,103454,Petrol,110,1,0,1600,5,1075</t>
  </si>
  <si>
    <t>10950,51,103018,Diesel,69,0,0,1900,5,1140</t>
  </si>
  <si>
    <t>11900,47,102352,Petrol,110,1,0,1600,5,1080</t>
  </si>
  <si>
    <t>9950,50,102030,Petrol,97,1,0,1400,5,1060</t>
  </si>
  <si>
    <t>11950,54,101352,Petrol,110,0,0,1600,5,1080</t>
  </si>
  <si>
    <t>7900,50,99865,Petrol,110,1,0,1600,4,1035</t>
  </si>
  <si>
    <t>10950,52,99323,Petrol,110,1,0,1600,3,1055</t>
  </si>
  <si>
    <t>8950,48,98100,Diesel,69,1,0,1900,5,1140</t>
  </si>
  <si>
    <t>11950,51,98040,Petrol,110,0,0,1600,5,1080</t>
  </si>
  <si>
    <t>10900,49,97600,Petrol,110,1,0,1600,3,1045</t>
  </si>
  <si>
    <t>9950,55,97234,Petrol,110,0,0,1600,5,1080</t>
  </si>
  <si>
    <t>9950,51,96135,Diesel,72,0,0,2000,3,1115</t>
  </si>
  <si>
    <t>10950,54,96100,Petrol,110,1,0,1600,5,1080</t>
  </si>
  <si>
    <t>8950,55,94401,Diesel,72,0,0,2000,3,1115</t>
  </si>
  <si>
    <t>8950,55,94122,Petrol,86,1,0,1300,3,1015</t>
  </si>
  <si>
    <t>10500,49,91340,Petrol,110,1,0,1600,3,1055</t>
  </si>
  <si>
    <t>8950,53,90200,Petrol,97,0,0,1400,3,1025</t>
  </si>
  <si>
    <t>9250,53,90097,Diesel,69,1,0,1900,5,1140</t>
  </si>
  <si>
    <t>11500,48,89049,Petrol,97,1,0,1400,5,1060</t>
  </si>
  <si>
    <t>9750,52,89000,Petrol,110,0,0,1600,5,1075</t>
  </si>
  <si>
    <t>9950,45,87274,Petrol,110,1,0,1600,3,1040</t>
  </si>
  <si>
    <t>11450,49,86221,Petrol,110,0,0,1600,3,1045</t>
  </si>
  <si>
    <t>12500,54,84598,Petrol,110,0,0,1600,5,1075</t>
  </si>
  <si>
    <t>10500,50,83567,Petrol,110,0,0,1600,5,1075</t>
  </si>
  <si>
    <t>12950,50,83106,Petrol,110,1,0,1600,5,1075</t>
  </si>
  <si>
    <t>12200,50,82805,Petrol,110,1,0,1600,3,1040</t>
  </si>
  <si>
    <t>10950,50,82735,Petrol,97,1,0,1400,3,1030</t>
  </si>
  <si>
    <t>10950,54,81905,Petrol,110,1,0,1600,5,1105</t>
  </si>
  <si>
    <t>11290,49,80320,Petrol,110,1,1,1600,3,1070</t>
  </si>
  <si>
    <t>10750,49,80090,Petrol,97,1,0,1400,3,1030</t>
  </si>
  <si>
    <t>10895,53,79800,Petrol,110,0,0,1600,5,1075</t>
  </si>
  <si>
    <t>11500,47,78785,CNG,110,1,0,1600,5,1119</t>
  </si>
  <si>
    <t>9750,48,78600,Petrol,110,1,0,1600,5,1075</t>
  </si>
  <si>
    <t>10250,55,77780,Petrol,110,0,0,1600,3,1040</t>
  </si>
  <si>
    <t>12500,49,77648,Petrol,110,0,0,1600,4,1030</t>
  </si>
  <si>
    <t>11950,54,77270,Petrol,110,1,0,1600,4,1035</t>
  </si>
  <si>
    <t>10750,50,76167,Petrol,97,1,0,1400,5,1060</t>
  </si>
  <si>
    <t>11450,46,75249,Petrol,110,1,0,1600,4,1035</t>
  </si>
  <si>
    <t>11950,54,75231,Petrol,110,1,0,1600,5,1080</t>
  </si>
  <si>
    <t>11750,48,75045,Petrol,110,1,0,1600,3,1055</t>
  </si>
  <si>
    <t>10950,50,74849,Petrol,110,1,1,1600,4,1060</t>
  </si>
  <si>
    <t>11950,55,74715,Petrol,110,1,0,1600,5,1080</t>
  </si>
  <si>
    <t>10995,49,74656,Diesel,69,0,0,1900,3,1105</t>
  </si>
  <si>
    <t>11450,56,74500,Petrol,97,0,0,1400,3,1025</t>
  </si>
  <si>
    <t>8900,49,74494,Petrol,110,1,0,1600,5,1075</t>
  </si>
  <si>
    <t>10500,50,73634,Petrol,110,0,0,1587,5,1075</t>
  </si>
  <si>
    <t>11750,47,73403,Petrol,110,1,0,1600,5,1075</t>
  </si>
  <si>
    <t>11450,49,73175,Petrol,97,1,0,1400,3,1030</t>
  </si>
  <si>
    <t>12000,52,73000,Petrol,110,0,0,1600,3,1055</t>
  </si>
  <si>
    <t>11950,50,72242,Petrol,110,0,1,1600,3,1070</t>
  </si>
  <si>
    <t>9850,53,72000,Petrol,97,1,0,1400,3,1025</t>
  </si>
  <si>
    <t>10950,54,71725,Petrol,110,1,0,1600,4,1035</t>
  </si>
  <si>
    <t>10950,54,71276,Petrol,110,0,0,1600,5,1080</t>
  </si>
  <si>
    <t>8695,50,70440,Diesel,69,1,0,1900,3,1105</t>
  </si>
  <si>
    <t>10990,53,70239,Petrol,110,0,0,1600,3,1040</t>
  </si>
  <si>
    <t>9500,55,69813,Petrol,97,1,0,1400,3,1025</t>
  </si>
  <si>
    <t>11950,49,69659,Petrol,86,0,0,1300,3,1025</t>
  </si>
  <si>
    <t>10750,46,69574,Petrol,97,0,0,1400,5,1065</t>
  </si>
  <si>
    <t>8750,47,69000,Diesel,69,1,0,1900,5,1140</t>
  </si>
  <si>
    <t>8750,49,68565,Petrol,110,1,0,1600,4,1030</t>
  </si>
  <si>
    <t>11450,55,68520,Diesel,72,1,0,2000,3,1115</t>
  </si>
  <si>
    <t>9950,46,68414,Petrol,97,0,0,1400,3,1025</t>
  </si>
  <si>
    <t>11950,56,66777,Petrol,110,0,0,1600,5,1090</t>
  </si>
  <si>
    <t>13950,52,66527,Petrol,110,1,0,1600,5,1080</t>
  </si>
  <si>
    <t>11250,54,66063,Petrol,110,1,0,1600,5,1090</t>
  </si>
  <si>
    <t>10900,50,65471,Petrol,97,1,0,1400,5,1060</t>
  </si>
  <si>
    <t>9750,56,65400,Petrol,97,1,0,1400,3,1025</t>
  </si>
  <si>
    <t>9950,52,65170,Petrol,97,1,0,1400,3,1025</t>
  </si>
  <si>
    <t>11950,56,65000,Petrol,110,1,0,1600,5,1075</t>
  </si>
  <si>
    <t>10450,48,64193,Petrol,110,1,0,1600,3,1040</t>
  </si>
  <si>
    <t>8950,54,64000,Petrol,97,1,0,1400,3,1025</t>
  </si>
  <si>
    <t>10250,54,63792,Petrol,110,1,0,1600,5,1075</t>
  </si>
  <si>
    <t>9930,53,63635,Petrol,110,1,0,1600,4,1035</t>
  </si>
  <si>
    <t>10500,54,63135,Petrol,110,1,0,1600,3,1050</t>
  </si>
  <si>
    <t>11950,54,63123,Petrol,110,1,0,1600,4,1035</t>
  </si>
  <si>
    <t>11500,48,63000,Diesel,69,1,0,1900,5,1140</t>
  </si>
  <si>
    <t>11500,55,63000,Petrol,110,0,0,1600,4,1035</t>
  </si>
  <si>
    <t>11450,54,62987,Petrol,110,0,0,1600,5,1080</t>
  </si>
  <si>
    <t>9900,56,62751,Petrol,110,0,0,1600,3,1050</t>
  </si>
  <si>
    <t>9500,54,62519,Petrol,97,0,0,1400,3,1025</t>
  </si>
  <si>
    <t>10500,50,62280,Petrol,97,1,0,1400,5,1060</t>
  </si>
  <si>
    <t>10750,50,61672,Petrol,110,0,0,1600,5,1075</t>
  </si>
  <si>
    <t>8950,54,61000,Diesel,69,0,0,2000,5,1140</t>
  </si>
  <si>
    <t>12000,56,61000,Petrol,110,1,0,1600,3,1050</t>
  </si>
  <si>
    <t>9940,53,60558,Petrol,110,1,0,1600,4,1105</t>
  </si>
  <si>
    <t>10950,47,60348,Petrol,110,0,0,1600,4,1030</t>
  </si>
  <si>
    <t>10750,54,60239,Petrol,110,1,0,1600,5,1075</t>
  </si>
  <si>
    <t>9799,51,59000,Petrol,97,1,0,1400,3,1025</t>
  </si>
  <si>
    <t>11750,51,58761,Petrol,97,0,0,1300,5,1060</t>
  </si>
  <si>
    <t>11950,54,58745,Petrol,110,1,0,1600,4,1035</t>
  </si>
  <si>
    <t>11250,52,58596,Petrol,110,1,0,1600,3,1045</t>
  </si>
  <si>
    <t>11750,54,58530,Petrol,110,0,0,1600,5,1075</t>
  </si>
  <si>
    <t>10950,55,58377,Petrol,110,1,0,1600,3,1050</t>
  </si>
  <si>
    <t>11250,56,58142,Petrol,110,1,0,1600,5,1080</t>
  </si>
  <si>
    <t>9950,53,57948,Petrol,97,1,0,1400,3,1025</t>
  </si>
  <si>
    <t>9700,51,57645,Petrol,110,0,0,1600,5,1080</t>
  </si>
  <si>
    <t>11950,47,57500,Petrol,110,1,0,1600,4,1105</t>
  </si>
  <si>
    <t>9900,53,57475,Petrol,110,0,0,1600,3,1040</t>
  </si>
  <si>
    <t>9990,55,56743,Petrol,110,0,0,1600,3,1045</t>
  </si>
  <si>
    <t>9475,48,56675,Petrol,97,1,0,1400,3,1025</t>
  </si>
  <si>
    <t>11500,54,55877,Petrol,110,1,0,1600,5,1075</t>
  </si>
  <si>
    <t>11950,53,55500,Petrol,110,1,0,1600,4,1035</t>
  </si>
  <si>
    <t>11500,55,54900,Petrol,97,1,0,1400,5,1060</t>
  </si>
  <si>
    <t>10500,50,54465,Petrol,110,0,0,1600,5,1075</t>
  </si>
  <si>
    <t>10900,46,53700,Petrol,97,1,0,1400,5,1060</t>
  </si>
  <si>
    <t>11700,52,53561,Petrol,97,1,0,1400,5,1060</t>
  </si>
  <si>
    <t>11900,51,53408,Petrol,110,1,0,1600,5,1080</t>
  </si>
  <si>
    <t>13950,51,53268,Petrol,110,1,0,1600,5,1080</t>
  </si>
  <si>
    <t>10950,49,53116,Petrol,97,1,0,1400,3,1025</t>
  </si>
  <si>
    <t>10500,56,52448,Petrol,97,0,0,1400,3,1025</t>
  </si>
  <si>
    <t>10750,55,52149,Petrol,97,1,0,1400,3,1085</t>
  </si>
  <si>
    <t>11950,55,52141,Petrol,110,1,0,1600,5,1070</t>
  </si>
  <si>
    <t>10000,56,52000,Petrol,97,0,0,1400,3,1025</t>
  </si>
  <si>
    <t>10495,48,50967,Petrol,97,1,0,1400,5,1060</t>
  </si>
  <si>
    <t>11450,50,50400,Petrol,110,0,0,1600,5,1080</t>
  </si>
  <si>
    <t>9400,54,50000,Petrol,97,1,0,1400,3,1025</t>
  </si>
  <si>
    <t>11950,51,50000,Petrol,86,1,0,1300,5,1045</t>
  </si>
  <si>
    <t>9650,53,49969,Petrol,110,0,0,1600,5,1075</t>
  </si>
  <si>
    <t>18950,49,49568,Petrol,110,1,0,1600,3,1105</t>
  </si>
  <si>
    <t>11450,51,49473,Petrol,110,0,0,1600,3,1055</t>
  </si>
  <si>
    <t>10250,52,49432,Petrol,110,1,0,1600,3,1050</t>
  </si>
  <si>
    <t>11450,48,49417,Petrol,110,1,0,1600,3,1045</t>
  </si>
  <si>
    <t>9950,54,49366,Petrol,97,1,0,1400,3,1025</t>
  </si>
  <si>
    <t>10500,56,48731,Petrol,110,1,0,1600,3,1055</t>
  </si>
  <si>
    <t>13750,54,48370,Petrol,110,1,0,1600,5,1080</t>
  </si>
  <si>
    <t>9950,48,48071,Petrol,97,0,0,1400,3,1025</t>
  </si>
  <si>
    <t>10250,54,47852,Petrol,110,1,0,1600,4,1030</t>
  </si>
  <si>
    <t>10850,54,47768,Petrol,110,0,0,1600,3,1055</t>
  </si>
  <si>
    <t>11895,52,47689,Petrol,110,0,0,1600,5,1075</t>
  </si>
  <si>
    <t>12950,53,47451,Petrol,110,1,0,1600,3,1055</t>
  </si>
  <si>
    <t>11950,50,47219,Petrol,110,1,0,1600,5,1080</t>
  </si>
  <si>
    <t>10750,56,47211,Petrol,110,1,0,1600,5,1070</t>
  </si>
  <si>
    <t>9550,54,46856,Petrol,97,0,0,1400,5,1060</t>
  </si>
  <si>
    <t>10950,56,46500,Petrol,86,0,0,1300,5,1035</t>
  </si>
  <si>
    <t>11750,52,46449,Petrol,110,1,0,1600,4,1035</t>
  </si>
  <si>
    <t>10950,47,46391,Petrol,110,0,0,1600,5,1075</t>
  </si>
  <si>
    <t>12450,54,46230,Petrol,110,1,0,1600,3,1055</t>
  </si>
  <si>
    <t>10500,52,46029,Petrol,110,1,0,1600,4,1030</t>
  </si>
  <si>
    <t>10900,50,46000,Petrol,97,0,0,1400,3,1025</t>
  </si>
  <si>
    <t>12950,50,45900,Petrol,110,1,0,1600,5,1075</t>
  </si>
  <si>
    <t>10950,47,45850,Petrol,97,0,0,1400,5,1060</t>
  </si>
  <si>
    <t>12500,56,45336,Petrol,110,1,0,1600,5,1080</t>
  </si>
  <si>
    <t>9950,55,44537,Petrol,97,0,0,1400,3,1025</t>
  </si>
  <si>
    <t>10750,56,43700,Petrol,86,1,0,1300,3,1025</t>
  </si>
  <si>
    <t>12500,48,43120,Petrol,97,1,0,1400,3,1030</t>
  </si>
  <si>
    <t>10450,49,41710,Petrol,110,0,0,1600,3,1040</t>
  </si>
  <si>
    <t>10750,52,41700,Petrol,97,1,0,1400,3,1025</t>
  </si>
  <si>
    <t>12950,49,41636,Petrol,110,1,0,1600,5,1105</t>
  </si>
  <si>
    <t>10995,50,41273,Petrol,97,0,0,1400,5,1060</t>
  </si>
  <si>
    <t>11950,49,40836,Petrol,110,0,1,1600,3,1075</t>
  </si>
  <si>
    <t>11250,50,40400,Petrol,97,1,0,1400,5,1060</t>
  </si>
  <si>
    <t>11950,47,40361,Petrol,110,1,0,1600,5,1090</t>
  </si>
  <si>
    <t>13750,54,40325,Petrol,86,0,0,1300,5,1045</t>
  </si>
  <si>
    <t>11000,47,40000,Petrol,110,0,0,1600,5,1080</t>
  </si>
  <si>
    <t>13500,50,39706,Petrol,110,1,0,1600,5,1080</t>
  </si>
  <si>
    <t>10950,54,39291,Petrol,110,1,0,1600,3,1040</t>
  </si>
  <si>
    <t>10750,54,39000,Petrol,97,0,0,1400,3,1025</t>
  </si>
  <si>
    <t>8950,47,38900,Petrol,97,1,0,1400,3,1025</t>
  </si>
  <si>
    <t>12950,51,38403,Petrol,110,0,0,1600,3,1055</t>
  </si>
  <si>
    <t>9750,56,37461,Petrol,97,0,0,1400,3,1025</t>
  </si>
  <si>
    <t>10900,54,37000,Petrol,97,1,0,1400,3,1025</t>
  </si>
  <si>
    <t>10995,55,36406,Petrol,110,1,0,1600,4,1035</t>
  </si>
  <si>
    <t>10750,48,36005,Petrol,97,1,0,1400,5,1065</t>
  </si>
  <si>
    <t>10950,52,36000,Petrol,110,1,0,1600,5,1075</t>
  </si>
  <si>
    <t>13000,49,36000,Petrol,110,0,0,1600,5,1080</t>
  </si>
  <si>
    <t>12950,45,36000,Petrol,110,1,1,1600,3,1070</t>
  </si>
  <si>
    <t>11500,52,35823,Petrol,110,0,0,1600,5,1075</t>
  </si>
  <si>
    <t>10950,56,35230,Petrol,97,0,0,1400,3,1025</t>
  </si>
  <si>
    <t>11710,48,35142,Petrol,110,0,0,1600,3,1055</t>
  </si>
  <si>
    <t>9980,49,34890,Petrol,97,0,0,1400,3,1025</t>
  </si>
  <si>
    <t>12250,51,34882,Petrol,110,1,0,1600,5,1075</t>
  </si>
  <si>
    <t>11500,46,34000,Petrol,110,1,0,1600,5,1075</t>
  </si>
  <si>
    <t>11950,56,33998,Petrol,110,0,0,1600,5,1080</t>
  </si>
  <si>
    <t>11500,55,33230,Petrol,110,0,0,1600,3,1050</t>
  </si>
  <si>
    <t>11900,46,33021,Petrol,110,1,0,1600,5,1080</t>
  </si>
  <si>
    <t>11930,49,31999,Petrol,97,0,0,1400,3,1030</t>
  </si>
  <si>
    <t>10500,52,31579,Petrol,97,0,0,1400,3,1025</t>
  </si>
  <si>
    <t>8950,56,31000,Petrol,97,0,0,1400,3,1025</t>
  </si>
  <si>
    <t>10450,46,30806,Petrol,97,1,0,1400,5,1060</t>
  </si>
  <si>
    <t>10500,55,30461,Petrol,86,1,0,1300,5,1050</t>
  </si>
  <si>
    <t>12950,50,29686,Petrol,110,1,1,1600,3,1075</t>
  </si>
  <si>
    <t>9950,55,29650,Petrol,86,0,0,1300,3,1025</t>
  </si>
  <si>
    <t>12900,52,29500,Petrol,110,1,0,1600,3,1055</t>
  </si>
  <si>
    <t>9950,48,28656,Petrol,97,0,0,1400,3,1085</t>
  </si>
  <si>
    <t>9950,55,27500,Petrol,97,1,0,1400,3,1025</t>
  </si>
  <si>
    <t>10950,48,26938,Petrol,110,1,0,1600,3,1040</t>
  </si>
  <si>
    <t>10950,53,26624,Petrol,97,0,0,1400,5,1060</t>
  </si>
  <si>
    <t>9950,47,26221,Petrol,97,1,0,1400,3,1025</t>
  </si>
  <si>
    <t>10950,50,22648,Petrol,97,1,0,1400,5,1060</t>
  </si>
  <si>
    <t>10800,50,22500,Petrol,97,1,0,1400,3,1025</t>
  </si>
  <si>
    <t>10500,56,19313,Petrol,97,0,0,1400,3,1025</t>
  </si>
  <si>
    <t>10450,50,17619,Petrol,110,0,0,1600,4,1030</t>
  </si>
  <si>
    <t>10600,51,17069,Petrol,97,1,0,1400,3,1025</t>
  </si>
  <si>
    <t>10450,48,15000,Petrol,97,1,0,1400,3,1025</t>
  </si>
  <si>
    <t>12950,50,10210,Petrol,97,0,0,1400,5,1065</t>
  </si>
  <si>
    <t>11250,47,5309,Petrol,110,1,1,1600,3,1070</t>
  </si>
  <si>
    <t>7500,50,1,Diesel,90,1,0,2000,3,1260</t>
  </si>
  <si>
    <t>8950,52,31000,Petrol,97,0,0,1398,3,1025</t>
  </si>
  <si>
    <t>6950,58,205000,Diesel,72,1,0,2000,4,1100</t>
  </si>
  <si>
    <t>7900,68,204250,Diesel,72,0,0,2000,3,1115</t>
  </si>
  <si>
    <t>5950,68,194545,Petrol,86,0,0,1300,4,1000</t>
  </si>
  <si>
    <t>7500,59,190900,Diesel,72,1,0,2000,3,1115</t>
  </si>
  <si>
    <t>7500,62,183500,Diesel,72,1,0,2000,5,1140</t>
  </si>
  <si>
    <t>6900,65,176184,Diesel,72,1,0,2000,3,1115</t>
  </si>
  <si>
    <t>5751,67,174833,Diesel,72,0,0,2000,4,1100</t>
  </si>
  <si>
    <t>6950,68,155720,Petrol,86,1,0,1300,3,1015</t>
  </si>
  <si>
    <t>7950,67,155500,Petrol,110,1,0,1600,5,1050</t>
  </si>
  <si>
    <t>7750,59,154783,Diesel,72,1,0,2000,3,1120</t>
  </si>
  <si>
    <t>7950,64,154462,Diesel,72,1,0,2000,5,1135</t>
  </si>
  <si>
    <t>8250,64,150585,Petrol,110,1,0,1600,3,1065</t>
  </si>
  <si>
    <t>6250,67,149000,Diesel,90,1,0,2000,5,1135</t>
  </si>
  <si>
    <t>9500,62,147636,Diesel,72,0,0,2000,5,1135</t>
  </si>
  <si>
    <t>6900,59,144521,Diesel,72,1,0,2000,5,1135</t>
  </si>
  <si>
    <t>8450,64,144000,CNG,110,1,0,1600,3,1065</t>
  </si>
  <si>
    <t>7350,65,140168,Diesel,72,1,0,2000,3,1115</t>
  </si>
  <si>
    <t>8950,68,140000,Petrol,110,1,0,1600,5,1085</t>
  </si>
  <si>
    <t>6900,60,139800,Diesel,72,0,0,2000,3,1115</t>
  </si>
  <si>
    <t>8950,59,137050,CNG,110,1,0,1600,3,1078</t>
  </si>
  <si>
    <t>8750,61,136956,Petrol,110,0,0,1600,3,1065</t>
  </si>
  <si>
    <t>7950,67,135337,CNG,110,1,0,1600,5,1120</t>
  </si>
  <si>
    <t>8950,64,133769,Diesel,72,1,0,2000,3,1120</t>
  </si>
  <si>
    <t>8950,58,133405,Diesel,72,1,0,2000,5,1135</t>
  </si>
  <si>
    <t>8950,65,132807,Diesel,72,1,0,2000,5,1135</t>
  </si>
  <si>
    <t>7950,64,132393,Diesel,72,0,0,2000,5,1135</t>
  </si>
  <si>
    <t>7750,60,130270,Petrol,110,0,0,1600,3,1050</t>
  </si>
  <si>
    <t>7500,59,130000,Diesel,72,1,0,2000,4,1135</t>
  </si>
  <si>
    <t>8950,67,127000,Diesel,72,1,0,2000,5,1135</t>
  </si>
  <si>
    <t>9800,67,126800,Diesel,72,0,0,2000,5,1135</t>
  </si>
  <si>
    <t>9450,66,126452,Petrol,110,1,0,1600,5,1085</t>
  </si>
  <si>
    <t>8950,62,125175,Diesel,116,0,0,2000,5,1150</t>
  </si>
  <si>
    <t>8750,68,125000,Diesel,72,1,0,2000,3,1115</t>
  </si>
  <si>
    <t>10500,61,123000,Diesel,72,0,0,2000,5,1135</t>
  </si>
  <si>
    <t>7995,59,121626,Petrol,86,0,0,1300,5,1050</t>
  </si>
  <si>
    <t>10450,64,120400,Petrol,110,0,0,1600,5,1090</t>
  </si>
  <si>
    <t>9950,66,120000,Diesel,72,0,0,2000,4,1100</t>
  </si>
  <si>
    <t>9950,68,119541,Petrol,110,0,0,1600,3,1055</t>
  </si>
  <si>
    <t>8950,68,119500,Petrol,110,1,0,1600,5,1070</t>
  </si>
  <si>
    <t>7950,68,119289,Petrol,110,1,0,1600,4,1035</t>
  </si>
  <si>
    <t>10950,57,118833,Petrol,110,0,0,1600,3,1065</t>
  </si>
  <si>
    <t>9950,64,118000,Diesel,72,1,0,2000,5,1150</t>
  </si>
  <si>
    <t>8600,68,117955,Petrol,110,1,1,1600,4,1065</t>
  </si>
  <si>
    <t>7250,65,117609,Petrol,86,0,0,1300,3,1015</t>
  </si>
  <si>
    <t>6950,68,117000,Diesel,72,0,0,2000,3,1115</t>
  </si>
  <si>
    <t>8000,64,116000,Petrol,86,0,0,1300,5,1045</t>
  </si>
  <si>
    <t>9950,58,115715,Petrol,110,0,0,1600,5,1070</t>
  </si>
  <si>
    <t>9450,60,115191,CNG,110,1,0,1600,4,1079</t>
  </si>
  <si>
    <t>7950,68,115071,Petrol,110,1,0,1600,3,1055</t>
  </si>
  <si>
    <t>9450,63,115000,CNG,110,0,0,1600,3,1109</t>
  </si>
  <si>
    <t>9950,64,114846,Petrol,110,1,0,1600,5,1075</t>
  </si>
  <si>
    <t>6950,65,114383,Diesel,90,0,0,2000,3,1260</t>
  </si>
  <si>
    <t>8250,59,113700,Petrol,110,1,0,1600,5,1065</t>
  </si>
  <si>
    <t>9950,67,113118,Petrol,86,1,0,1300,3,1020</t>
  </si>
  <si>
    <t>8250,59,112827,Petrol,86,1,0,1300,5,1040</t>
  </si>
  <si>
    <t>9950,68,112116,Petrol,110,1,0,1600,5,1070</t>
  </si>
  <si>
    <t>10500,66,112000,Petrol,110,1,0,1600,3,1065</t>
  </si>
  <si>
    <t>7950,62,112000,Diesel,72,0,0,2000,4,1135</t>
  </si>
  <si>
    <t>9750,65,111769,Petrol,110,0,0,1600,3,1065</t>
  </si>
  <si>
    <t>9250,61,110853,Petrol,110,1,0,1600,5,1070</t>
  </si>
  <si>
    <t>9500,68,110287,Petrol,110,1,0,1600,3,1050</t>
  </si>
  <si>
    <t>9950,62,109547,Petrol,110,0,0,1600,5,1075</t>
  </si>
  <si>
    <t>7750,63,109230,Petrol,110,0,0,1600,3,1050</t>
  </si>
  <si>
    <t>9500,68,109150,Petrol,110,0,0,1600,5,1075</t>
  </si>
  <si>
    <t>9950,67,108793,Petrol,110,1,0,1600,4,1035</t>
  </si>
  <si>
    <t>9750,64,106784,Petrol,110,0,1,1600,3,1050</t>
  </si>
  <si>
    <t>9750,58,105942,Petrol,86,0,0,1300,5,1040</t>
  </si>
  <si>
    <t>5950,59,105000,Petrol,86,1,0,1300,3,1015</t>
  </si>
  <si>
    <t>8500,62,105000,Petrol,86,0,0,1300,5,1040</t>
  </si>
  <si>
    <t>8495,68,104299,Petrol,110,1,0,1600,5,1085</t>
  </si>
  <si>
    <t>9250,67,104000,Petrol,86,0,0,1300,3,1020</t>
  </si>
  <si>
    <t>6900,68,104000,Petrol,86,1,0,1300,3,1015</t>
  </si>
  <si>
    <t>8950,58,103458,Petrol,86,1,0,1300,3,1025</t>
  </si>
  <si>
    <t>9500,63,103400,Petrol,110,1,0,1600,5,1075</t>
  </si>
  <si>
    <t>9250,63,102807,Petrol,86,0,0,1300,5,1055</t>
  </si>
  <si>
    <t>9895,68,102494,Petrol,110,0,0,1600,5,1090</t>
  </si>
  <si>
    <t>9950,57,102300,Diesel,72,1,0,2000,5,1135</t>
  </si>
  <si>
    <t>7950,61,102106,Petrol,110,0,0,1600,3,1050</t>
  </si>
  <si>
    <t>8750,68,101889,Petrol,110,1,0,1600,5,1075</t>
  </si>
  <si>
    <t>8250,57,101791,Diesel,72,0,0,2000,3,1115</t>
  </si>
  <si>
    <t>8950,63,101469,Petrol,110,1,0,1600,3,1065</t>
  </si>
  <si>
    <t>8950,68,101001,Petrol,110,0,0,1600,5,1075</t>
  </si>
  <si>
    <t>8950,61,100748,Petrol,110,0,0,1600,5,1070</t>
  </si>
  <si>
    <t>8950,65,100550,Petrol,110,1,0,1600,5,1075</t>
  </si>
  <si>
    <t>9450,67,99781,Petrol,110,1,0,1600,5,1085</t>
  </si>
  <si>
    <t>8950,59,98658,Petrol,86,1,0,1300,3,1020</t>
  </si>
  <si>
    <t>9250,65,98500,Petrol,110,1,0,1600,5,1075</t>
  </si>
  <si>
    <t>8750,64,98291,Petrol,86,0,0,1300,4,1000</t>
  </si>
  <si>
    <t>9950,61,97648,Petrol,110,1,0,1600,3,1065</t>
  </si>
  <si>
    <t>9950,61,97425,Petrol,110,1,0,1600,5,1075</t>
  </si>
  <si>
    <t>9900,65,97173,Petrol,86,0,0,1300,3,1015</t>
  </si>
  <si>
    <t>8950,66,97046,Petrol,86,1,0,1300,4,1000</t>
  </si>
  <si>
    <t>8950,67,96000,Petrol,110,1,0,1600,3,1050</t>
  </si>
  <si>
    <t>12250,60,96000,Diesel,72,0,0,2000,4,1100</t>
  </si>
  <si>
    <t>9250,67,95750,Petrol,110,1,0,1600,5,1070</t>
  </si>
  <si>
    <t>10250,61,95147,Petrol,110,1,0,1600,3,1050</t>
  </si>
  <si>
    <t>8950,68,95000,Petrol,110,0,0,1600,3,1050</t>
  </si>
  <si>
    <t>7999,65,95000,Petrol,110,1,0,1600,3,1050</t>
  </si>
  <si>
    <t>9900,66,94606,Petrol,110,0,0,1600,3,1065</t>
  </si>
  <si>
    <t>8250,63,94504,Petrol,86,1,0,1300,4,1000</t>
  </si>
  <si>
    <t>10500,65,93428,Petrol,110,1,0,1600,5,1075</t>
  </si>
  <si>
    <t>8450,65,93408,Petrol,86,0,0,1300,3,1015</t>
  </si>
  <si>
    <t>9900,68,93296,Petrol,110,1,0,1600,5,1090</t>
  </si>
  <si>
    <t>10500,62,93098,Petrol,110,1,0,1600,5,1075</t>
  </si>
  <si>
    <t>8500,67,92922,Diesel,72,1,0,2000,4,1100</t>
  </si>
  <si>
    <t>9500,61,92498,Petrol,110,1,0,1600,3,1050</t>
  </si>
  <si>
    <t>9450,65,92226,Petrol,110,0,0,1600,3,1065</t>
  </si>
  <si>
    <t>9900,68,91505,Diesel,72,0,0,2000,3,1115</t>
  </si>
  <si>
    <t>8250,64,91333,Petrol,110,1,0,1600,3,1050</t>
  </si>
  <si>
    <t>8750,65,91246,Petrol,86,1,0,1300,3,1015</t>
  </si>
  <si>
    <t>9500,58,91000,Petrol,110,1,0,1600,5,1075</t>
  </si>
  <si>
    <t>8450,68,90727,Petrol,110,0,0,1600,3,1050</t>
  </si>
  <si>
    <t>8490,62,90000,Petrol,110,0,0,1600,3,1050</t>
  </si>
  <si>
    <t>8750,60,89576,Petrol,110,0,0,1600,4,1035</t>
  </si>
  <si>
    <t>9750,64,89145,Petrol,86,1,0,1300,3,1025</t>
  </si>
  <si>
    <t>9950,63,89000,Petrol,110,1,0,1600,5,1085</t>
  </si>
  <si>
    <t>8500,68,88807,Petrol,110,0,0,1600,3,1050</t>
  </si>
  <si>
    <t>8450,63,88685,Petrol,110,0,0,1600,5,1070</t>
  </si>
  <si>
    <t>7900,62,88667,Petrol,110,1,0,1600,4,1040</t>
  </si>
  <si>
    <t>8750,57,88480,Petrol,110,1,0,1600,3,1050</t>
  </si>
  <si>
    <t>7950,61,88127,Petrol,86,0,0,1300,3,1015</t>
  </si>
  <si>
    <t>6900,62,88000,Petrol,86,0,0,1300,3,1020</t>
  </si>
  <si>
    <t>8150,65,87821,Petrol,86,1,0,1300,3,1015</t>
  </si>
  <si>
    <t>10995,59,87654,Petrol,86,1,1,1300,5,1065</t>
  </si>
  <si>
    <t>8900,59,86888,Petrol,110,1,0,1600,3,1050</t>
  </si>
  <si>
    <t>9500,59,86871,Petrol,86,1,0,1300,5,1040</t>
  </si>
  <si>
    <t>8950,68,86714,Petrol,110,1,0,1600,4,1035</t>
  </si>
  <si>
    <t>11500,65,85889,Petrol,110,0,0,1600,3,1065</t>
  </si>
  <si>
    <t>10450,62,85000,Petrol,110,1,0,1600,3,1050</t>
  </si>
  <si>
    <t>10500,60,85000,Petrol,86,1,0,1300,3,1025</t>
  </si>
  <si>
    <t>9250,68,84976,Petrol,110,1,0,1600,4,1035</t>
  </si>
  <si>
    <t>10950,65,84558,Petrol,110,1,0,1600,5,1120</t>
  </si>
  <si>
    <t>10450,62,84549,Petrol,110,0,0,1600,5,1075</t>
  </si>
  <si>
    <t>9250,68,84482,Petrol,110,1,0,1600,5,1075</t>
  </si>
  <si>
    <t>8750,62,83908,Petrol,110,1,0,1600,5,1070</t>
  </si>
  <si>
    <t>8750,67,83560,Petrol,86,0,0,1300,3,1015</t>
  </si>
  <si>
    <t>9800,68,83000,Petrol,107,1,1,1600,5,1100</t>
  </si>
  <si>
    <t>8250,64,82723,Petrol,86,0,0,1300,3,1015</t>
  </si>
  <si>
    <t>10450,62,82421,Petrol,110,1,0,1600,3,1065</t>
  </si>
  <si>
    <t>9750,58,82254,Petrol,110,0,0,1600,5,1050</t>
  </si>
  <si>
    <t>8950,61,82115,Petrol,110,1,0,1600,3,1055</t>
  </si>
  <si>
    <t>7450,65,82000,Petrol,86,1,0,1300,3,1015</t>
  </si>
  <si>
    <t>8450,68,81965,Petrol,86,1,0,1300,5,1035</t>
  </si>
  <si>
    <t>8250,66,81250,Petrol,110,0,0,1600,3,1050</t>
  </si>
  <si>
    <t>10950,65,81192,Petrol,110,1,0,1600,3,1065</t>
  </si>
  <si>
    <t>8950,61,81170,Petrol,110,1,0,1600,4,1040</t>
  </si>
  <si>
    <t>8750,66,81083,Petrol,86,0,0,1300,3,1015</t>
  </si>
  <si>
    <t>10450,61,80714,Petrol,110,1,0,1600,5,1075</t>
  </si>
  <si>
    <t>10950,57,80470,Petrol,110,0,0,1600,5,1085</t>
  </si>
  <si>
    <t>8450,65,80439,Petrol,110,1,0,1600,4,1035</t>
  </si>
  <si>
    <t>9950,59,80430,Petrol,110,1,0,1600,3,1065</t>
  </si>
  <si>
    <t>9950,68,80426,Petrol,110,1,0,1600,3,1055</t>
  </si>
  <si>
    <t>8750,62,80265,Petrol,86,0,0,1300,3,1015</t>
  </si>
  <si>
    <t>9950,65,80153,Petrol,110,0,0,1600,5,1070</t>
  </si>
  <si>
    <t>9500,68,80121,Petrol,110,0,0,1600,5,1070</t>
  </si>
  <si>
    <t>8250,65,80086,Petrol,110,1,0,1600,4,1035</t>
  </si>
  <si>
    <t>10950,62,80000,Petrol,110,0,0,1600,5,1075</t>
  </si>
  <si>
    <t>7950,60,80000,Petrol,86,0,0,1300,5,1015</t>
  </si>
  <si>
    <t>8250,65,80000,Petrol,86,1,0,1300,2,1015</t>
  </si>
  <si>
    <t>9895,67,79858,Petrol,110,1,0,1600,4,1040</t>
  </si>
  <si>
    <t>9130,67,79762,Petrol,86,1,0,1300,3,1015</t>
  </si>
  <si>
    <t>10950,59,79660,Petrol,86,0,1,1300,5,1065</t>
  </si>
  <si>
    <t>10500,60,79150,Petrol,110,1,0,1600,5,1075</t>
  </si>
  <si>
    <t>8900,61,79000,Petrol,110,1,0,1600,3,1050</t>
  </si>
  <si>
    <t>9500,57,78955,Petrol,86,1,0,1300,5,1045</t>
  </si>
  <si>
    <t>10950,59,78750,Diesel,90,1,0,1975,5,1155</t>
  </si>
  <si>
    <t>7950,68,78521,Petrol,86,0,0,1300,3,1015</t>
  </si>
  <si>
    <t>7950,64,78356,Petrol,86,1,0,1300,3,1015</t>
  </si>
  <si>
    <t>7950,65,78076,Petrol,86,1,0,1300,3,1015</t>
  </si>
  <si>
    <t>9500,61,78063,Petrol,107,1,1,1600,5,1100</t>
  </si>
  <si>
    <t>10950,67,77821,Petrol,110,1,0,1600,5,1075</t>
  </si>
  <si>
    <t>9750,68,77695,Petrol,110,1,0,1600,4,1035</t>
  </si>
  <si>
    <t>9750,65,77500,Petrol,110,1,0,1600,3,1050</t>
  </si>
  <si>
    <t>9450,63,77457,Petrol,110,1,0,1600,3,1055</t>
  </si>
  <si>
    <t>8950,68,77029,Petrol,86,1,0,1300,3,1015</t>
  </si>
  <si>
    <t>8950,68,77008,Petrol,86,1,0,1300,3,1015</t>
  </si>
  <si>
    <t>8900,66,76791,Petrol,110,1,0,1600,5,1070</t>
  </si>
  <si>
    <t>9950,61,76700,Petrol,86,1,0,1300,5,1035</t>
  </si>
  <si>
    <t>8750,67,76569,Petrol,86,1,0,1300,3,1020</t>
  </si>
  <si>
    <t>8950,59,76162,Petrol,110,1,0,1600,5,1075</t>
  </si>
  <si>
    <t>8990,65,76155,Petrol,110,1,0,1600,4,1035</t>
  </si>
  <si>
    <t>8950,61,75609,Petrol,86,1,0,1300,3,1015</t>
  </si>
  <si>
    <t>8950,62,75569,Diesel,72,1,0,2000,3,1120</t>
  </si>
  <si>
    <t>9950,67,75429,Petrol,110,1,0,1600,3,1065</t>
  </si>
  <si>
    <t>9900,68,75000,Petrol,110,1,0,1600,5,1075</t>
  </si>
  <si>
    <t>8950,65,75000,Petrol,86,0,0,1300,3,1015</t>
  </si>
  <si>
    <t>8950,62,75000,Petrol,110,1,0,1600,5,1070</t>
  </si>
  <si>
    <t>9500,66,74963,Petrol,107,0,1,1600,3,1085</t>
  </si>
  <si>
    <t>7950,68,74889,Petrol,86,1,0,1300,3,1015</t>
  </si>
  <si>
    <t>7750,68,74875,Petrol,110,0,0,1600,5,1070</t>
  </si>
  <si>
    <t>8950,63,74747,Petrol,110,1,0,1600,5,1075</t>
  </si>
  <si>
    <t>11950,60,74720,Petrol,110,1,0,1600,5,1085</t>
  </si>
  <si>
    <t>8950,62,74457,Petrol,110,0,0,1600,5,1075</t>
  </si>
  <si>
    <t>11950,60,74337,Petrol,86,0,0,1300,5,1035</t>
  </si>
  <si>
    <t>8950,68,74308,Petrol,110,0,0,1600,3,1050</t>
  </si>
  <si>
    <t>9950,64,74193,Petrol,110,0,0,1600,3,1050</t>
  </si>
  <si>
    <t>8250,65,74179,Petrol,110,1,0,1600,3,1050</t>
  </si>
  <si>
    <t>8995,67,73936,Petrol,86,1,0,1300,5,1050</t>
  </si>
  <si>
    <t>9995,61,73894,Petrol,110,1,0,1600,3,1065</t>
  </si>
  <si>
    <t>9250,64,73500,Petrol,110,1,0,1600,3,1050</t>
  </si>
  <si>
    <t>10950,64,73376,Petrol,110,0,0,1600,5,1070</t>
  </si>
  <si>
    <t>8900,64,73300,Petrol,86,1,0,1300,3,1015</t>
  </si>
  <si>
    <t>9500,58,73172,Petrol,110,1,0,1600,5,1075</t>
  </si>
  <si>
    <t>9950,58,72928,Petrol,110,1,0,1600,5,1075</t>
  </si>
  <si>
    <t>7950,67,72880,Petrol,86,1,0,1332,3,1015</t>
  </si>
  <si>
    <t>8250,63,72522,Petrol,110,1,0,1600,3,1050</t>
  </si>
  <si>
    <t>9450,64,72000,Petrol,86,1,0,1300,3,1015</t>
  </si>
  <si>
    <t>7950,57,72000,Petrol,86,0,0,1300,3,1015</t>
  </si>
  <si>
    <t>9500,59,71366,Petrol,110,0,0,1600,3,1065</t>
  </si>
  <si>
    <t>8950,65,71317,Petrol,110,0,0,1600,3,1050</t>
  </si>
  <si>
    <t>10950,62,71000,Petrol,110,0,0,1600,5,1070</t>
  </si>
  <si>
    <t>8950,60,70954,Petrol,110,0,0,1600,3,1050</t>
  </si>
  <si>
    <t>9450,63,70908,Petrol,86,0,0,1300,5,1035</t>
  </si>
  <si>
    <t>8000,58,70560,Petrol,110,1,0,1600,3,1050</t>
  </si>
  <si>
    <t>9900,67,70552,Petrol,110,0,0,1600,5,1075</t>
  </si>
  <si>
    <t>8950,62,70500,Petrol,110,1,0,1600,5,1035</t>
  </si>
  <si>
    <t>10900,60,70453,Diesel,72,0,0,2000,5,1135</t>
  </si>
  <si>
    <t>9450,59,70218,Petrol,110,1,0,1600,3,1050</t>
  </si>
  <si>
    <t>8450,64,70116,Petrol,110,1,0,1600,4,1035</t>
  </si>
  <si>
    <t>9500,65,70068,Petrol,110,1,0,1600,5,1075</t>
  </si>
  <si>
    <t>10500,67,70000,Petrol,107,1,1,1587,3,1065</t>
  </si>
  <si>
    <t>6950,68,70000,Petrol,86,1,0,1300,3,1015</t>
  </si>
  <si>
    <t>9750,68,69103,Petrol,110,0,0,1600,4,1035</t>
  </si>
  <si>
    <t>6950,58,69022,Petrol,86,1,0,1300,5,1035</t>
  </si>
  <si>
    <t>9650,67,69000,Petrol,110,1,0,1600,3,1065</t>
  </si>
  <si>
    <t>9950,68,68865,Petrol,110,1,0,1600,3,1065</t>
  </si>
  <si>
    <t>9250,58,68723,Petrol,86,0,0,1300,3,1025</t>
  </si>
  <si>
    <t>8950,63,68453,Petrol,110,1,0,1600,5,1070</t>
  </si>
  <si>
    <t>9900,63,68238,Petrol,86,0,0,1300,5,1050</t>
  </si>
  <si>
    <t>10995,63,68153,Petrol,110,1,0,1600,5,1085</t>
  </si>
  <si>
    <t>10500,65,68000,Petrol,110,0,0,1600,5,1075</t>
  </si>
  <si>
    <t>8950,65,68000,Petrol,86,1,0,1300,3,1015</t>
  </si>
  <si>
    <t>9750,67,67762,Petrol,110,1,0,1600,3,1065</t>
  </si>
  <si>
    <t>10950,68,67146,Petrol,110,1,0,1600,5,1075</t>
  </si>
  <si>
    <t>9750,67,67110,Petrol,86,1,0,1300,5,1035</t>
  </si>
  <si>
    <t>9950,59,67010,Petrol,110,1,0,1600,3,1065</t>
  </si>
  <si>
    <t>10500,65,67003,Petrol,110,1,0,1600,4,1035</t>
  </si>
  <si>
    <t>10400,68,66785,Petrol,86,0,1,1300,3,1045</t>
  </si>
  <si>
    <t>8800,68,66550,Petrol,86,0,0,1332,3,1010</t>
  </si>
  <si>
    <t>10500,61,66259,Petrol,110,1,0,1600,3,1065</t>
  </si>
  <si>
    <t>9250,62,66082,Petrol,110,0,0,1600,5,1070</t>
  </si>
  <si>
    <t>7800,65,66000,Petrol,86,1,0,1300,3,1015</t>
  </si>
  <si>
    <t>9950,61,66000,Petrol,110,0,0,1600,3,1050</t>
  </si>
  <si>
    <t>10750,63,65896,Petrol,110,1,0,1600,3,1065</t>
  </si>
  <si>
    <t>10950,67,65785,Petrol,110,1,0,1600,5,1075</t>
  </si>
  <si>
    <t>9950,65,65513,Petrol,110,1,1,1600,4,1070</t>
  </si>
  <si>
    <t>9950,59,65463,Petrol,110,1,0,1600,5,1070</t>
  </si>
  <si>
    <t>8100,68,65400,Petrol,86,1,0,1300,4,1000</t>
  </si>
  <si>
    <t>9250,60,65259,Petrol,110,1,0,1600,3,1050</t>
  </si>
  <si>
    <t>7800,64,65000,Petrol,110,1,0,1600,3,1050</t>
  </si>
  <si>
    <t>9000,68,65000,Petrol,110,0,0,1600,5,1070</t>
  </si>
  <si>
    <t>8950,57,65000,Petrol,110,0,0,1600,4,1035</t>
  </si>
  <si>
    <t>8950,62,64966,Petrol,86,0,0,1300,3,1020</t>
  </si>
  <si>
    <t>9950,68,64950,Petrol,110,1,0,1600,5,1075</t>
  </si>
  <si>
    <t>8500,60,64914,Petrol,110,1,0,1600,5,1070</t>
  </si>
  <si>
    <t>7995,62,64797,Petrol,110,1,0,1600,5,1075</t>
  </si>
  <si>
    <t>8750,65,64772,Petrol,110,1,0,1600,3,1050</t>
  </si>
  <si>
    <t>9750,63,64690,Petrol,86,0,0,1300,3,1020</t>
  </si>
  <si>
    <t>10950,65,64630,Petrol,110,0,0,1600,5,1070</t>
  </si>
  <si>
    <t>9750,67,64613,Petrol,110,1,0,1600,5,1085</t>
  </si>
  <si>
    <t>8200,60,64383,Petrol,86,0,0,1300,3,1015</t>
  </si>
  <si>
    <t>8950,68,64000,Petrol,110,0,0,1600,5,1075</t>
  </si>
  <si>
    <t>9500,66,63881,Petrol,86,0,0,1300,3,1015</t>
  </si>
  <si>
    <t>10950,58,63870,Diesel,72,0,0,2000,5,1135</t>
  </si>
  <si>
    <t>9750,66,63328,Petrol,86,0,1,1300,5,1065</t>
  </si>
  <si>
    <t>9950,65,63000,Petrol,86,1,1,1300,5,1065</t>
  </si>
  <si>
    <t>10450,61,63000,Petrol,86,0,1,1300,3,1050</t>
  </si>
  <si>
    <t>9850,65,62396,Petrol,110,0,0,1600,3,1050</t>
  </si>
  <si>
    <t>9450,62,62377,Petrol,110,1,0,1600,5,1075</t>
  </si>
  <si>
    <t>10295,67,62316,Petrol,110,1,0,1600,3,1050</t>
  </si>
  <si>
    <t>9750,68,62292,Petrol,110,1,0,1600,3,1065</t>
  </si>
  <si>
    <t>8950,65,62225,Petrol,110,1,0,1600,3,1050</t>
  </si>
  <si>
    <t>9900,68,62222,Petrol,110,0,0,1600,5,1075</t>
  </si>
  <si>
    <t>8750,66,62135,Petrol,86,1,0,1300,5,1035</t>
  </si>
  <si>
    <t>9950,58,62024,Petrol,110,1,0,1600,5,1075</t>
  </si>
  <si>
    <t>8500,60,61977,Petrol,86,1,0,1300,3,1015</t>
  </si>
  <si>
    <t>9950,62,61930,Petrol,110,1,0,1600,4,1035</t>
  </si>
  <si>
    <t>10950,57,61682,Petrol,110,0,0,1600,3,1050</t>
  </si>
  <si>
    <t>9795,68,61568,Petrol,110,1,0,1600,4,1035</t>
  </si>
  <si>
    <t>8750,68,61504,Petrol,110,1,0,1600,4,1035</t>
  </si>
  <si>
    <t>8250,65,61384,Petrol,110,1,0,1600,3,1050</t>
  </si>
  <si>
    <t>9950,58,61343,Petrol,110,1,0,1600,5,1075</t>
  </si>
  <si>
    <t>9950,62,61254,Petrol,110,0,0,1600,5,1075</t>
  </si>
  <si>
    <t>10500,59,61166,Petrol,110,1,0,1600,3,1050</t>
  </si>
  <si>
    <t>9750,62,61149,Petrol,86,1,0,1300,5,1040</t>
  </si>
  <si>
    <t>11250,61,61144,Petrol,110,1,0,1600,5,1090</t>
  </si>
  <si>
    <t>8900,59,61127,Petrol,110,1,0,1600,3,1050</t>
  </si>
  <si>
    <t>7950,60,61100,Petrol,86,1,0,1300,3,1015</t>
  </si>
  <si>
    <t>11500,68,61100,Petrol,110,1,0,1600,5,1075</t>
  </si>
  <si>
    <t>9450,57,61000,Petrol,110,1,0,1600,3,1050</t>
  </si>
  <si>
    <t>7995,65,60724,Petrol,86,1,0,1300,3,1015</t>
  </si>
  <si>
    <t>10995,59,60708,Petrol,86,1,0,1300,5,1045</t>
  </si>
  <si>
    <t>8950,61,60532,Petrol,110,1,0,1600,3,1050</t>
  </si>
  <si>
    <t>8250,67,60000,Petrol,86,0,1,1300,4,1030</t>
  </si>
  <si>
    <t>8950,66,60000,Petrol,86,1,0,1300,3,1015</t>
  </si>
  <si>
    <t>8950,65,60000,Petrol,86,1,0,1300,3,1015</t>
  </si>
  <si>
    <t>9500,62,59295,Petrol,86,0,0,1300,5,1035</t>
  </si>
  <si>
    <t>7500,65,59264,Petrol,86,0,0,1300,3,1015</t>
  </si>
  <si>
    <t>8950,63,59000,Petrol,110,0,0,1600,3,1050</t>
  </si>
  <si>
    <t>9950,63,59000,Petrol,86,1,0,1300,5,1035</t>
  </si>
  <si>
    <t>9750,65,59000,Petrol,110,0,0,1600,5,1075</t>
  </si>
  <si>
    <t>9450,61,59000,Petrol,110,1,0,1600,5,1070</t>
  </si>
  <si>
    <t>9950,65,59000,Petrol,110,0,0,1600,3,1050</t>
  </si>
  <si>
    <t>9750,68,58860,Petrol,110,1,0,1600,3,1055</t>
  </si>
  <si>
    <t>8950,65,58829,Petrol,110,0,0,1600,3,1050</t>
  </si>
  <si>
    <t>8250,66,58654,Petrol,110,1,0,1600,5,1070</t>
  </si>
  <si>
    <t>7750,65,58300,Petrol,86,1,0,1300,3,1015</t>
  </si>
  <si>
    <t>8950,60,58269,Petrol,110,1,0,1600,3,1050</t>
  </si>
  <si>
    <t>9950,64,58136,Petrol,110,1,0,1600,5,1075</t>
  </si>
  <si>
    <t>9450,66,58113,Petrol,107,1,1,1600,3,1085</t>
  </si>
  <si>
    <t>12950,67,58058,Petrol,110,1,0,1600,3,1065</t>
  </si>
  <si>
    <t>9950,58,58000,Petrol,110,1,0,1600,3,1050</t>
  </si>
  <si>
    <t>10495,62,58000,Petrol,110,1,0,1600,3,1065</t>
  </si>
  <si>
    <t>7950,68,57565,Petrol,86,1,0,1300,5,1035</t>
  </si>
  <si>
    <t>10500,63,57413,Petrol,107,0,1,1600,5,1115</t>
  </si>
  <si>
    <t>8950,65,57374,Petrol,110,1,0,1600,5,1075</t>
  </si>
  <si>
    <t>9900,62,57179,Petrol,110,1,0,1600,5,1075</t>
  </si>
  <si>
    <t>9995,61,57169,Petrol,110,1,0,1600,3,1065</t>
  </si>
  <si>
    <t>9950,63,57124,Petrol,110,1,0,1600,3,1065</t>
  </si>
  <si>
    <t>9950,63,57000,Petrol,110,1,0,1600,3,1050</t>
  </si>
  <si>
    <t>8250,67,57000,Petrol,110,0,0,1600,3,1050</t>
  </si>
  <si>
    <t>9950,63,57000,Petrol,86,1,0,1300,5,1035</t>
  </si>
  <si>
    <t>8950,59,56259,Petrol,86,0,0,1300,3,1015</t>
  </si>
  <si>
    <t>10950,62,56209,Petrol,107,1,1,1600,3,1080</t>
  </si>
  <si>
    <t>9250,67,56074,Petrol,86,0,0,1300,4,1000</t>
  </si>
  <si>
    <t>9950,63,55942,Petrol,110,1,0,1600,5,1070</t>
  </si>
  <si>
    <t>9995,57,55844,Petrol,86,1,0,1300,5,1045</t>
  </si>
  <si>
    <t>8750,61,55747,Petrol,86,0,0,1300,3,1020</t>
  </si>
  <si>
    <t>10950,58,55478,Petrol,86,0,0,1300,5,1045</t>
  </si>
  <si>
    <t>10350,60,55085,Petrol,107,0,1,1600,5,1105</t>
  </si>
  <si>
    <t>9950,65,55061,Petrol,110,1,0,1600,5,1070</t>
  </si>
  <si>
    <t>8950,65,55000,Petrol,86,1,0,1300,3,1015</t>
  </si>
  <si>
    <t>10950,57,55000,Petrol,110,0,0,1600,5,1075</t>
  </si>
  <si>
    <t>10950,63,54936,Petrol,110,1,0,1600,5,1075</t>
  </si>
  <si>
    <t>8950,68,54875,Petrol,110,1,0,1600,5,1070</t>
  </si>
  <si>
    <t>8900,67,54847,Petrol,110,0,0,1600,3,1050</t>
  </si>
  <si>
    <t>10250,60,54554,Petrol,110,1,0,1600,3,1065</t>
  </si>
  <si>
    <t>9450,61,54125,Petrol,110,1,0,1600,5,1035</t>
  </si>
  <si>
    <t>9250,61,54000,Petrol,110,1,0,1600,3,1055</t>
  </si>
  <si>
    <t>10500,57,54000,Petrol,110,1,0,1600,5,1075</t>
  </si>
  <si>
    <t>7350,58,54000,Petrol,86,0,0,1300,5,1035</t>
  </si>
  <si>
    <t>10250,57,54000,Petrol,110,1,0,1600,3,1135</t>
  </si>
  <si>
    <t>10250,62,53285,Petrol,110,1,0,1600,5,1075</t>
  </si>
  <si>
    <t>11500,65,53053,Petrol,110,1,0,1600,5,1075</t>
  </si>
  <si>
    <t>8950,68,53000,Petrol,110,1,1,1587,3,1075</t>
  </si>
  <si>
    <t>7750,68,53000,Petrol,86,0,0,1300,3,1015</t>
  </si>
  <si>
    <t>9500,64,52968,Petrol,110,1,0,1600,3,1050</t>
  </si>
  <si>
    <t>8450,67,52800,Petrol,86,1,0,1300,3,1015</t>
  </si>
  <si>
    <t>8950,57,52548,Petrol,110,0,0,1600,3,1050</t>
  </si>
  <si>
    <t>8400,60,52487,Petrol,110,1,0,1600,4,1035</t>
  </si>
  <si>
    <t>9250,66,52383,Petrol,86,0,0,1300,3,1015</t>
  </si>
  <si>
    <t>8900,61,52112,Petrol,110,1,0,1600,4,1035</t>
  </si>
  <si>
    <t>8750,58,51712,Petrol,110,0,0,1600,3,1050</t>
  </si>
  <si>
    <t>10950,58,51421,Petrol,110,0,1,1600,5,1105</t>
  </si>
  <si>
    <t>8950,61,51235,Petrol,86,1,0,1300,4,1000</t>
  </si>
  <si>
    <t>8950,65,51000,Petrol,86,1,0,1300,3,1015</t>
  </si>
  <si>
    <t>8895,61,50925,Petrol,110,1,0,1600,5,1070</t>
  </si>
  <si>
    <t>9390,66,50806,Petrol,86,0,0,1300,3,1480</t>
  </si>
  <si>
    <t>8750,59,50469,Petrol,110,1,0,1600,5,1070</t>
  </si>
  <si>
    <t>9750,61,50173,Petrol,110,1,0,1600,5,1075</t>
  </si>
  <si>
    <t>9950,62,50000,Petrol,110,1,0,1600,5,1075</t>
  </si>
  <si>
    <t>10950,65,49942,Petrol,110,0,0,1600,3,1065</t>
  </si>
  <si>
    <t>9900,67,49585,Petrol,110,0,0,1600,5,1085</t>
  </si>
  <si>
    <t>9500,62,49258,Petrol,110,1,0,1600,4,1035</t>
  </si>
  <si>
    <t>9950,61,49000,Petrol,110,0,0,1600,3,1050</t>
  </si>
  <si>
    <t>9950,63,48738,Petrol,110,0,0,1600,5,1055</t>
  </si>
  <si>
    <t>10500,62,47750,Petrol,86,1,0,1300,5,1040</t>
  </si>
  <si>
    <t>9950,63,47612,Petrol,86,0,0,1300,3,1015</t>
  </si>
  <si>
    <t>10495,68,47500,Petrol,86,1,0,1300,5,1035</t>
  </si>
  <si>
    <t>9500,66,47237,Petrol,110,0,0,1600,3,1050</t>
  </si>
  <si>
    <t>8500,58,47171,Petrol,86,1,0,1300,3,1015</t>
  </si>
  <si>
    <t>10450,60,47060,Petrol,110,0,0,1600,4,1035</t>
  </si>
  <si>
    <t>8950,65,47014,Petrol,86,1,0,1300,3,1015</t>
  </si>
  <si>
    <t>9900,59,46929,Petrol,86,1,0,1300,3,1025</t>
  </si>
  <si>
    <t>8900,63,46000,Petrol,86,0,0,1300,5,1035</t>
  </si>
  <si>
    <t>8745,65,45681,Petrol,110,0,0,1600,3,1050</t>
  </si>
  <si>
    <t>8750,65,45549,Petrol,86,1,0,1300,3,1015</t>
  </si>
  <si>
    <t>10750,57,45000,Petrol,110,1,0,1600,5,1050</t>
  </si>
  <si>
    <t>9750,57,45000,Petrol,110,1,0,1600,3,1050</t>
  </si>
  <si>
    <t>8850,65,45000,Petrol,110,0,0,1600,5,1075</t>
  </si>
  <si>
    <t>7950,66,45000,Petrol,86,1,0,1300,5,1035</t>
  </si>
  <si>
    <t>9450,63,45000,Petrol,110,1,0,1600,4,1035</t>
  </si>
  <si>
    <t>9950,61,45000,Petrol,107,0,1,1600,3,1085</t>
  </si>
  <si>
    <t>8250,63,44944,Petrol,110,1,0,1600,4,1035</t>
  </si>
  <si>
    <t>9950,61,44597,Petrol,86,0,0,1300,3,1015</t>
  </si>
  <si>
    <t>9995,68,44458,Petrol,86,0,0,1300,3,1015</t>
  </si>
  <si>
    <t>9950,59,43818,Petrol,110,0,0,1600,5,1070</t>
  </si>
  <si>
    <t>10495,60,43426,Petrol,110,1,0,1600,5,1070</t>
  </si>
  <si>
    <t>7950,58,43000,CNG,110,1,1,1600,4,1114</t>
  </si>
  <si>
    <t>8950,68,43000,Petrol,110,1,0,1600,5,1035</t>
  </si>
  <si>
    <t>9695,57,43000,Petrol,110,0,0,1600,5,1075</t>
  </si>
  <si>
    <t>7750,64,43000,Petrol,86,0,0,1300,3,1015</t>
  </si>
  <si>
    <t>9950,68,42750,Petrol,110,1,0,1600,3,1050</t>
  </si>
  <si>
    <t>9950,67,42102,Petrol,110,1,0,1600,5,1075</t>
  </si>
  <si>
    <t>9950,63,41586,Petrol,110,1,0,1600,5,1114</t>
  </si>
  <si>
    <t>9900,64,41200,Petrol,110,0,0,1600,5,1070</t>
  </si>
  <si>
    <t>10950,57,40214,Petrol,86,0,0,1300,3,1025</t>
  </si>
  <si>
    <t>8950,60,40000,Petrol,86,1,0,1300,4,1000</t>
  </si>
  <si>
    <t>8950,66,39222,Petrol,86,1,1,1300,3,1045</t>
  </si>
  <si>
    <t>8250,66,39144,Petrol,110,1,0,1600,3,1050</t>
  </si>
  <si>
    <t>10250,62,39000,Petrol,110,1,0,1600,5,1075</t>
  </si>
  <si>
    <t>8750,61,38019,Petrol,110,1,0,1600,5,1070</t>
  </si>
  <si>
    <t>9750,68,37759,Petrol,110,1,0,1600,5,1070</t>
  </si>
  <si>
    <t>10950,61,37500,Petrol,110,0,0,1600,5,1085</t>
  </si>
  <si>
    <t>10950,60,37111,Petrol,110,1,0,1600,3,1050</t>
  </si>
  <si>
    <t>9750,62,37000,Petrol,86,0,0,1300,3,1015</t>
  </si>
  <si>
    <t>8900,59,36954,Petrol,110,1,0,1600,3,1050</t>
  </si>
  <si>
    <t>9500,60,36943,Petrol,110,0,0,1600,5,1070</t>
  </si>
  <si>
    <t>9950,63,36923,Petrol,86,0,0,1300,5,1050</t>
  </si>
  <si>
    <t>9950,66,36658,Petrol,110,0,0,1600,3,1050</t>
  </si>
  <si>
    <t>8250,65,36000,Petrol,86,1,0,1300,3,1015</t>
  </si>
  <si>
    <t>10450,65,36000,Petrol,110,1,0,1600,3,1065</t>
  </si>
  <si>
    <t>10950,62,35512,Petrol,110,1,0,1600,3,1065</t>
  </si>
  <si>
    <t>9250,65,35283,Petrol,86,1,0,1300,3,1015</t>
  </si>
  <si>
    <t>8900,68,35000,Petrol,110,1,0,1600,3,1050</t>
  </si>
  <si>
    <t>10900,57,35000,Petrol,86,1,0,1300,5,1045</t>
  </si>
  <si>
    <t>9750,64,34114,Petrol,110,0,0,1600,3,1050</t>
  </si>
  <si>
    <t>11950,58,34000,Petrol,110,0,0,1600,5,1075</t>
  </si>
  <si>
    <t>7900,68,33847,Petrol,86,1,0,1300,4,1000</t>
  </si>
  <si>
    <t>10900,57,33535,Petrol,110,0,0,1600,4,1035</t>
  </si>
  <si>
    <t>10450,65,33000,Petrol,110,0,0,1600,3,1050</t>
  </si>
  <si>
    <t>10950,59,32150,Petrol,110,1,0,1600,5,1085</t>
  </si>
  <si>
    <t>9950,65,31588,Petrol,86,1,0,1300,3,1015</t>
  </si>
  <si>
    <t>10750,60,31480,Petrol,110,1,0,1600,3,1065</t>
  </si>
  <si>
    <t>9900,57,31307,Petrol,110,1,0,1600,5,1070</t>
  </si>
  <si>
    <t>10750,68,31000,Petrol,110,1,0,1600,4,1035</t>
  </si>
  <si>
    <t>10450,58,30634,Petrol,110,1,0,1600,5,1075</t>
  </si>
  <si>
    <t>9450,68,30300,Petrol,86,1,0,1300,4,1000</t>
  </si>
  <si>
    <t>10750,60,28500,Petrol,86,1,1,1300,3,1045</t>
  </si>
  <si>
    <t>10950,60,28500,Petrol,110,0,0,1600,5,1075</t>
  </si>
  <si>
    <t>10000,57,28000,Petrol,86,0,0,1300,3,1015</t>
  </si>
  <si>
    <t>10500,68,26698,Petrol,110,0,0,1600,3,1055</t>
  </si>
  <si>
    <t>12500,62,26000,Petrol,107,0,1,1600,3,1085</t>
  </si>
  <si>
    <t>8950,62,25505,Petrol,86,1,0,1300,5,1035</t>
  </si>
  <si>
    <t>10500,58,25000,Petrol,110,1,0,1600,5,1075</t>
  </si>
  <si>
    <t>9245,66,22835,Petrol,110,1,0,1600,3,1050</t>
  </si>
  <si>
    <t>10950,59,22705,Petrol,110,1,0,1600,5,1075</t>
  </si>
  <si>
    <t>9500,63,22178,Petrol,86,1,0,1300,3,1015</t>
  </si>
  <si>
    <t>10900,62,17345,Petrol,110,1,0,1600,3,1050</t>
  </si>
  <si>
    <t>10950,67,15535,Petrol,86,1,1,1300,4,1030</t>
  </si>
  <si>
    <t>9450,66,15110,Petrol,86,0,0,1300,5,1035</t>
  </si>
  <si>
    <t>5900,73,232940,Diesel,72,0,0,2000,5,1172</t>
  </si>
  <si>
    <t>6950,79,218118,Diesel,72,0,0,2000,5,1150</t>
  </si>
  <si>
    <t>6000,78,217764,Diesel,72,1,0,2000,5,1135</t>
  </si>
  <si>
    <t>5250,79,207114,CNG,110,1,0,1600,5,1114</t>
  </si>
  <si>
    <t>4400,74,203254,Diesel,72,1,0,2000,3,1135</t>
  </si>
  <si>
    <t>6750,77,200732,Diesel,72,1,0,2000,4,1100</t>
  </si>
  <si>
    <t>8500,69,197501,Diesel,72,0,0,2000,5,1135</t>
  </si>
  <si>
    <t>6150,80,194765,Diesel,72,0,0,2000,3,1120</t>
  </si>
  <si>
    <t>6950,76,191620,Diesel,72,0,0,2000,5,1150</t>
  </si>
  <si>
    <t>5750,76,183277,Diesel,72,0,0,2000,3,1115</t>
  </si>
  <si>
    <t>8750,78,180378,Diesel,72,1,0,2000,4,1100</t>
  </si>
  <si>
    <t>6500,70,178800,Diesel,72,0,0,2000,3,1115</t>
  </si>
  <si>
    <t>5950,73,176177,Petrol,110,1,0,1600,5,1075</t>
  </si>
  <si>
    <t>6500,78,176000,Petrol,86,0,0,1300,5,1035</t>
  </si>
  <si>
    <t>10500,77,172980,Diesel,72,1,0,2000,5,1135</t>
  </si>
  <si>
    <t>8500,77,170000,Diesel,72,0,0,2000,4,1100</t>
  </si>
  <si>
    <t>7950,71,164000,Petrol,110,1,0,1600,3,1050</t>
  </si>
  <si>
    <t>5800,78,161775,Petrol,86,1,0,1300,3,1015</t>
  </si>
  <si>
    <t>6750,80,160000,Petrol,86,0,0,1300,3,1015</t>
  </si>
  <si>
    <t>6950,78,159968,Diesel,72,0,0,2000,3,1115</t>
  </si>
  <si>
    <t>5740,74,159908,Petrol,110,0,0,1600,3,1050</t>
  </si>
  <si>
    <t>6550,73,158492,Petrol,86,0,0,1300,3,1015</t>
  </si>
  <si>
    <t>8950,69,156204,Diesel,72,1,0,2000,3,1115</t>
  </si>
  <si>
    <t>6750,73,156169,Petrol,86,1,0,1300,5,1035</t>
  </si>
  <si>
    <t>7950,78,155210,Petrol,110,0,0,1600,3,1050</t>
  </si>
  <si>
    <t>7950,69,155000,Diesel,72,0,0,2000,3,1115</t>
  </si>
  <si>
    <t>7450,76,154900,Diesel,72,1,0,2000,5,1140</t>
  </si>
  <si>
    <t>7750,70,151300,Diesel,72,1,0,2000,5,1150</t>
  </si>
  <si>
    <t>6450,71,151000,CNG,110,1,0,1600,5,1094</t>
  </si>
  <si>
    <t>7900,75,150000,Diesel,72,1,0,2000,3,1135</t>
  </si>
  <si>
    <t>6900,69,146304,Diesel,72,1,0,2000,3,1115</t>
  </si>
  <si>
    <t>5600,75,146197,Petrol,86,0,0,1300,3,1015</t>
  </si>
  <si>
    <t>5950,77,145996,Petrol,110,0,0,1600,4,1035</t>
  </si>
  <si>
    <t>6950,80,143560,Petrol,86,1,1,1300,3,1045</t>
  </si>
  <si>
    <t>7950,71,139145,Diesel,73,0,0,2000,2,1115</t>
  </si>
  <si>
    <t>8950,79,138500,Petrol,86,0,0,1300,5,1050</t>
  </si>
  <si>
    <t>7950,74,137741,Diesel,90,1,0,2000,5,1135</t>
  </si>
  <si>
    <t>9500,80,137178,Diesel,90,1,0,2000,5,1135</t>
  </si>
  <si>
    <t>8600,76,134889,Diesel,72,1,0,2000,3,1115</t>
  </si>
  <si>
    <t>5950,71,134660,Diesel,72,0,0,2000,5,1135</t>
  </si>
  <si>
    <t>7750,73,134539,Petrol,110,0,0,1600,5,1070</t>
  </si>
  <si>
    <t>7950,79,131500,Diesel,72,0,0,2000,5,1140</t>
  </si>
  <si>
    <t>6950,77,131307,Petrol,110,1,0,1600,3,1050</t>
  </si>
  <si>
    <t>7250,74,130025,Petrol,110,1,0,1600,3,1050</t>
  </si>
  <si>
    <t>6500,78,130000,Petrol,86,0,0,1300,5,1015</t>
  </si>
  <si>
    <t>7250,77,128960,Petrol,110,1,0,1600,5,1070</t>
  </si>
  <si>
    <t>9250,80,128351,Petrol,110,1,0,1600,5,1070</t>
  </si>
  <si>
    <t>8250,73,128006,Petrol,110,1,0,1600,3,1050</t>
  </si>
  <si>
    <t>7250,71,127159,Diesel,72,1,0,2000,3,1115</t>
  </si>
  <si>
    <t>5250,72,126478,Petrol,110,1,0,1600,4,1035</t>
  </si>
  <si>
    <t>7900,77,126000,Petrol,110,1,0,1600,5,1050</t>
  </si>
  <si>
    <t>6900,76,125778,Petrol,110,0,0,1600,3,1050</t>
  </si>
  <si>
    <t>7900,75,125400,Petrol,110,0,0,1600,3,1050</t>
  </si>
  <si>
    <t>7250,74,124910,Diesel,72,0,0,2000,5,1135</t>
  </si>
  <si>
    <t>8450,70,124743,Petrol,110,1,0,1600,3,1050</t>
  </si>
  <si>
    <t>7950,76,124591,Petrol,110,1,0,1600,5,1075</t>
  </si>
  <si>
    <t>7950,74,124057,Petrol,110,1,0,1600,3,1050</t>
  </si>
  <si>
    <t>6450,72,123403,Petrol,110,1,0,1600,3,1050</t>
  </si>
  <si>
    <t>6650,75,123104,Petrol,110,1,0,1600,5,1070</t>
  </si>
  <si>
    <t>7950,74,123077,Petrol,86,1,0,1300,3,1015</t>
  </si>
  <si>
    <t>7250,80,122820,Petrol,86,0,0,1300,5,1040</t>
  </si>
  <si>
    <t>7450,77,122290,Petrol,110,0,0,1600,3,1050</t>
  </si>
  <si>
    <t>7950,74,121900,Petrol,110,1,0,1600,4,1035</t>
  </si>
  <si>
    <t>7250,77,121545,Petrol,110,1,0,1600,5,1070</t>
  </si>
  <si>
    <t>8250,71,120474,Diesel,72,1,0,2000,3,1115</t>
  </si>
  <si>
    <t>8950,76,120263,Diesel,72,1,0,2000,5,1135</t>
  </si>
  <si>
    <t>7750,74,120196,Petrol,110,1,0,1600,3,1050</t>
  </si>
  <si>
    <t>8500,71,120000,Petrol,110,0,0,1600,5,1085</t>
  </si>
  <si>
    <t>7750,78,120000,Petrol,110,0,0,1600,5,1075</t>
  </si>
  <si>
    <t>5750,73,115877,Petrol,110,0,0,1600,4,1035</t>
  </si>
  <si>
    <t>6900,76,115345,Petrol,110,1,0,1600,5,1070</t>
  </si>
  <si>
    <t>6500,71,115157,Petrol,110,1,0,1600,3,1050</t>
  </si>
  <si>
    <t>6500,78,115000,Petrol,107,1,1,1600,5,1100</t>
  </si>
  <si>
    <t>7600,77,114258,Petrol,86,1,0,1300,5,1050</t>
  </si>
  <si>
    <t>8950,73,112963,Diesel,72,1,0,2000,5,1135</t>
  </si>
  <si>
    <t>7450,74,112307,Petrol,110,1,0,1600,5,1070</t>
  </si>
  <si>
    <t>7350,72,112000,Petrol,86,1,0,1300,3,1015</t>
  </si>
  <si>
    <t>7750,73,111602,Petrol,86,1,0,1300,3,1015</t>
  </si>
  <si>
    <t>7460,80,111392,CNG,110,0,0,1598,3,1083</t>
  </si>
  <si>
    <t>9250,76,110901,Petrol,110,1,0,1600,5,1085</t>
  </si>
  <si>
    <t>7250,80,110887,Petrol,110,1,0,1600,3,1055</t>
  </si>
  <si>
    <t>6500,72,110634,Petrol,86,1,0,1300,3,1015</t>
  </si>
  <si>
    <t>6800,80,110000,Petrol,110,1,0,1600,4,1035</t>
  </si>
  <si>
    <t>8700,75,109540,Petrol,110,0,0,1600,5,1085</t>
  </si>
  <si>
    <t>7500,78,109263,Petrol,110,0,0,1600,5,1070</t>
  </si>
  <si>
    <t>7750,71,107516,Petrol,110,1,0,1600,3,1050</t>
  </si>
  <si>
    <t>7950,73,107108,Petrol,110,1,0,1600,3,1050</t>
  </si>
  <si>
    <t>9950,75,107000,Petrol,110,1,0,1600,3,1050</t>
  </si>
  <si>
    <t>6640,74,106250,Petrol,110,0,0,1600,5,1070</t>
  </si>
  <si>
    <t>8750,71,106150,Petrol,86,0,0,1300,3,1015</t>
  </si>
  <si>
    <t>7750,72,106108,Petrol,110,1,0,1600,3,1050</t>
  </si>
  <si>
    <t>5950,72,105856,Petrol,86,0,0,1300,3,1015</t>
  </si>
  <si>
    <t>6750,77,105152,Petrol,86,0,0,1300,3,1015</t>
  </si>
  <si>
    <t>6500,80,105135,Petrol,110,1,0,1600,3,1050</t>
  </si>
  <si>
    <t>8750,76,104344,Petrol,110,1,0,1600,3,1050</t>
  </si>
  <si>
    <t>7950,74,104150,Petrol,110,1,0,1600,3,1050</t>
  </si>
  <si>
    <t>6750,74,104000,Petrol,86,1,0,1300,3,1010</t>
  </si>
  <si>
    <t>7950,73,103121,Petrol,86,1,0,1300,5,1035</t>
  </si>
  <si>
    <t>7950,80,102300,Petrol,86,1,0,1300,3,1015</t>
  </si>
  <si>
    <t>8950,75,102005,Petrol,107,1,1,1600,5,1105</t>
  </si>
  <si>
    <t>7750,77,102000,Petrol,86,1,0,1300,3,1015</t>
  </si>
  <si>
    <t>6450,75,101855,Petrol,110,1,0,1600,5,1070</t>
  </si>
  <si>
    <t>6900,74,101773,Petrol,110,0,0,1600,3,1050</t>
  </si>
  <si>
    <t>8450,75,101159,Petrol,110,1,0,1600,5,1085</t>
  </si>
  <si>
    <t>6750,74,101000,Petrol,86,0,0,1300,3,1015</t>
  </si>
  <si>
    <t>8050,74,100732,Petrol,86,1,1,1300,4,1030</t>
  </si>
  <si>
    <t>9500,79,100719,Petrol,110,0,0,1600,5,1070</t>
  </si>
  <si>
    <t>7750,78,100487,Petrol,110,0,0,1600,4,1035</t>
  </si>
  <si>
    <t>8500,80,100458,Petrol,110,0,0,1600,5,1085</t>
  </si>
  <si>
    <t>7795,75,100192,Petrol,110,1,0,1600,3,1050</t>
  </si>
  <si>
    <t>6490,80,100123,Petrol,110,1,0,1600,3,1050</t>
  </si>
  <si>
    <t>7950,73,99971,Petrol,110,1,0,1600,3,1050</t>
  </si>
  <si>
    <t>6425,79,99397,Petrol,86,0,0,1300,5,1035</t>
  </si>
  <si>
    <t>8950,69,99374,Petrol,86,1,0,1300,5,1035</t>
  </si>
  <si>
    <t>6950,72,99245,Petrol,110,1,0,1600,5,1114</t>
  </si>
  <si>
    <t>8750,79,98742,Petrol,110,0,0,1600,5,1085</t>
  </si>
  <si>
    <t>8450,71,98154,Petrol,110,1,0,1600,3,1050</t>
  </si>
  <si>
    <t>7950,77,98000,Petrol,110,1,0,1600,5,1065</t>
  </si>
  <si>
    <t>7950,80,97548,Petrol,86,0,0,1300,5,1035</t>
  </si>
  <si>
    <t>8900,78,97534,Petrol,110,1,0,1600,5,1070</t>
  </si>
  <si>
    <t>8950,73,97494,Petrol,110,1,0,1600,5,1085</t>
  </si>
  <si>
    <t>8900,73,97085,Petrol,110,1,0,1600,5,1085</t>
  </si>
  <si>
    <t>7950,69,97000,Petrol,110,0,0,1600,4,1035</t>
  </si>
  <si>
    <t>6495,74,96302,Petrol,86,1,0,1300,3,1015</t>
  </si>
  <si>
    <t>7250,78,96000,Petrol,86,1,0,1300,3,1015</t>
  </si>
  <si>
    <t>9250,74,96000,Petrol,110,1,0,1600,5,1085</t>
  </si>
  <si>
    <t>6650,78,95909,Petrol,110,1,0,1600,5,1070</t>
  </si>
  <si>
    <t>6990,79,95700,Petrol,110,0,0,1600,5,1085</t>
  </si>
  <si>
    <t>7750,78,95651,Petrol,110,1,0,1600,5,1070</t>
  </si>
  <si>
    <t>6950,79,95000,Petrol,86,1,0,1300,5,1035</t>
  </si>
  <si>
    <t>7250,80,94447,Petrol,110,0,0,1600,3,1050</t>
  </si>
  <si>
    <t>9950,80,94079,Petrol,110,1,0,1600,5,1085</t>
  </si>
  <si>
    <t>9250,80,93841,Petrol,110,0,0,1600,5,1070</t>
  </si>
  <si>
    <t>7200,79,93090,Petrol,86,1,0,1300,5,1035</t>
  </si>
  <si>
    <t>8250,72,93066,Petrol,110,1,0,1600,5,1075</t>
  </si>
  <si>
    <t>8950,79,93039,Petrol,110,1,0,1600,3,1050</t>
  </si>
  <si>
    <t>8250,77,93000,Petrol,110,1,0,1600,5,1075</t>
  </si>
  <si>
    <t>6250,80,92830,Petrol,86,1,0,1300,3,1015</t>
  </si>
  <si>
    <t>9900,80,92255,Petrol,107,0,1,1600,5,1105</t>
  </si>
  <si>
    <t>7300,80,92096,Petrol,86,1,0,1300,5,1035</t>
  </si>
  <si>
    <t>8950,72,91921,Petrol,86,1,0,1300,3,1020</t>
  </si>
  <si>
    <t>6500,70,91900,Petrol,86,1,0,1300,3,1015</t>
  </si>
  <si>
    <t>7950,78,91399,Petrol,110,1,0,1600,5,1070</t>
  </si>
  <si>
    <t>7450,75,91082,Petrol,110,1,0,1600,3,1050</t>
  </si>
  <si>
    <t>7950,71,90370,Petrol,86,1,0,1300,5,1035</t>
  </si>
  <si>
    <t>8500,78,90345,Petrol,86,1,0,1300,5,1035</t>
  </si>
  <si>
    <t>6950,77,90305,Petrol,86,1,0,1300,3,1015</t>
  </si>
  <si>
    <t>7950,78,90011,Petrol,86,0,1,1300,3,1045</t>
  </si>
  <si>
    <t>6750,77,90000,Petrol,86,1,0,1300,3,1015</t>
  </si>
  <si>
    <t>8450,70,89983,Petrol,110,0,0,1600,3,1055</t>
  </si>
  <si>
    <t>7500,78,89953,Petrol,110,0,0,1600,5,1114</t>
  </si>
  <si>
    <t>8750,74,89800,Diesel,72,1,0,2000,3,1115</t>
  </si>
  <si>
    <t>8750,79,89739,Petrol,86,1,0,1300,5,1035</t>
  </si>
  <si>
    <t>8950,76,89520,Petrol,110,1,0,1600,3,1050</t>
  </si>
  <si>
    <t>7450,75,89507,Petrol,86,0,0,1300,3,1015</t>
  </si>
  <si>
    <t>9200,69,89096,Petrol,110,1,0,1600,5,1085</t>
  </si>
  <si>
    <t>8950,74,88700,Petrol,110,1,0,1600,3,1050</t>
  </si>
  <si>
    <t>7850,72,88500,Petrol,110,1,0,1600,5,1075</t>
  </si>
  <si>
    <t>6950,73,88186,Diesel,72,1,0,2000,3,1115</t>
  </si>
  <si>
    <t>7200,75,88000,Petrol,110,1,0,1600,3,1050</t>
  </si>
  <si>
    <t>7450,78,87743,Petrol,110,0,0,1600,3,1055</t>
  </si>
  <si>
    <t>6750,75,87613,Petrol,86,0,0,1300,3,1015</t>
  </si>
  <si>
    <t>7500,73,87358,Petrol,110,1,0,1600,3,1050</t>
  </si>
  <si>
    <t>7450,72,87083,Petrol,110,0,0,1600,4,1035</t>
  </si>
  <si>
    <t>7950,70,87000,Petrol,110,1,0,1600,4,1035</t>
  </si>
  <si>
    <t>7250,78,87000,Petrol,110,1,0,1600,4,1035</t>
  </si>
  <si>
    <t>7950,73,87000,Petrol,86,1,0,1300,3,1015</t>
  </si>
  <si>
    <t>8250,80,87000,Petrol,86,1,0,1300,3,1015</t>
  </si>
  <si>
    <t>8250,72,86860,Petrol,110,0,0,1600,5,1075</t>
  </si>
  <si>
    <t>6750,80,86109,Petrol,110,1,0,1600,3,1055</t>
  </si>
  <si>
    <t>8750,79,86000,Petrol,86,1,0,1300,5,1040</t>
  </si>
  <si>
    <t>8950,80,86000,Petrol,110,0,0,1600,3,1050</t>
  </si>
  <si>
    <t>8500,70,85864,Diesel,72,1,0,2000,5,1135</t>
  </si>
  <si>
    <t>8250,80,85565,Petrol,110,0,0,1600,5,1070</t>
  </si>
  <si>
    <t>9450,70,85470,Petrol,107,0,1,1600,3,1080</t>
  </si>
  <si>
    <t>7950,73,85200,Petrol,110,1,0,1600,3,1050</t>
  </si>
  <si>
    <t>7900,70,85000,Petrol,110,1,0,1600,3,1055</t>
  </si>
  <si>
    <t>8500,73,84988,Petrol,110,1,0,1600,3,1050</t>
  </si>
  <si>
    <t>8250,79,84966,Petrol,110,0,0,1600,5,1070</t>
  </si>
  <si>
    <t>8250,76,84472,Petrol,110,1,0,1600,5,1070</t>
  </si>
  <si>
    <t>8950,73,84402,Petrol,110,1,0,1600,4,1035</t>
  </si>
  <si>
    <t>7950,74,84123,Petrol,110,0,0,1600,3,1050</t>
  </si>
  <si>
    <t>6950,80,84000,Petrol,110,0,0,1600,5,1075</t>
  </si>
  <si>
    <t>7250,78,84000,Petrol,110,1,0,1600,5,1065</t>
  </si>
  <si>
    <t>7750,77,84000,Petrol,110,1,0,1600,5,1085</t>
  </si>
  <si>
    <t>8700,75,83850,Petrol,110,1,0,1600,3,1055</t>
  </si>
  <si>
    <t>8950,80,83540,Petrol,110,1,0,1600,5,1070</t>
  </si>
  <si>
    <t>6750,76,83405,Petrol,110,1,0,1600,5,1070</t>
  </si>
  <si>
    <t>7500,71,83291,Petrol,110,1,0,1600,5,1070</t>
  </si>
  <si>
    <t>7950,69,83133,Petrol,86,0,0,1300,3,1015</t>
  </si>
  <si>
    <t>8950,71,83047,Petrol,86,1,1,1300,3,1045</t>
  </si>
  <si>
    <t>7950,71,82700,Petrol,110,0,0,1600,3,1050</t>
  </si>
  <si>
    <t>7450,78,82675,Petrol,86,0,0,1300,3,1015</t>
  </si>
  <si>
    <t>5950,78,82595,Petrol,86,1,0,1300,3,1015</t>
  </si>
  <si>
    <t>7750,75,82256,Petrol,110,1,0,1600,3,1050</t>
  </si>
  <si>
    <t>6950,77,82103,Petrol,86,1,0,1300,3,1015</t>
  </si>
  <si>
    <t>8750,80,82021,Petrol,86,1,0,1300,5,1035</t>
  </si>
  <si>
    <t>8950,71,82000,Petrol,110,1,0,1600,5,1075</t>
  </si>
  <si>
    <t>7495,79,81988,Petrol,110,1,0,1600,5,1070</t>
  </si>
  <si>
    <t>7750,76,81930,Petrol,110,0,0,1600,5,1070</t>
  </si>
  <si>
    <t>6950,70,81663,Petrol,110,0,0,1600,3,1050</t>
  </si>
  <si>
    <t>7990,77,80486,Petrol,110,1,0,1600,5,1070</t>
  </si>
  <si>
    <t>7250,78,80000,Petrol,110,1,0,1600,4,1065</t>
  </si>
  <si>
    <t>6900,69,79000,Petrol,86,0,0,1300,3,1015</t>
  </si>
  <si>
    <t>7750,74,78894,Petrol,110,0,0,1600,5,1070</t>
  </si>
  <si>
    <t>7250,78,78689,Petrol,110,0,0,1600,4,1035</t>
  </si>
  <si>
    <t>8950,77,78435,Petrol,86,0,0,1300,3,1015</t>
  </si>
  <si>
    <t>8500,71,78260,Petrol,110,0,0,1600,3,1050</t>
  </si>
  <si>
    <t>7950,72,78120,Petrol,110,1,0,1600,5,1075</t>
  </si>
  <si>
    <t>6950,77,77000,Petrol,86,0,0,1300,3,1015</t>
  </si>
  <si>
    <t>8000,78,77000,Petrol,110,0,0,1600,3,1050</t>
  </si>
  <si>
    <t>7950,75,76382,Petrol,110,1,0,1600,3,1055</t>
  </si>
  <si>
    <t>8500,76,76268,Petrol,86,1,0,1300,3,1015</t>
  </si>
  <si>
    <t>7490,73,76151,Petrol,86,1,0,1300,3,1015</t>
  </si>
  <si>
    <t>8250,80,76000,Petrol,110,0,0,1600,3,1050</t>
  </si>
  <si>
    <t>9250,71,76000,Petrol,110,1,0,1600,5,1070</t>
  </si>
  <si>
    <t>7950,72,75840,Petrol,86,0,0,1300,5,1035</t>
  </si>
  <si>
    <t>9500,77,75799,Petrol,110,1,0,1600,3,1050</t>
  </si>
  <si>
    <t>8950,72,75525,Petrol,110,1,0,1600,3,1114</t>
  </si>
  <si>
    <t>8450,78,75323,Petrol,86,1,0,1300,5,1050</t>
  </si>
  <si>
    <t>7995,79,75322,Petrol,110,1,0,1600,4,1115</t>
  </si>
  <si>
    <t>8750,78,75226,Petrol,110,0,0,1600,4,1035</t>
  </si>
  <si>
    <t>5950,71,75085,Petrol,86,0,0,1300,5,1035</t>
  </si>
  <si>
    <t>8500,73,75000,Petrol,110,0,0,1600,5,1075</t>
  </si>
  <si>
    <t>8950,69,75000,Petrol,86,1,0,1300,4,1000</t>
  </si>
  <si>
    <t>8750,69,75000,Petrol,86,1,0,1300,4,1000</t>
  </si>
  <si>
    <t>7600,78,74926,Petrol,110,1,0,1600,5,1075</t>
  </si>
  <si>
    <t>7145,80,74785,Petrol,110,1,0,1600,5,1070</t>
  </si>
  <si>
    <t>8450,69,74573,Petrol,110,1,0,1600,5,1085</t>
  </si>
  <si>
    <t>5950,75,74567,Petrol,86,1,0,1300,3,1015</t>
  </si>
  <si>
    <t>9000,80,74196,Petrol,110,0,0,1600,5,1075</t>
  </si>
  <si>
    <t>7250,80,74151,Petrol,110,1,0,1600,3,1050</t>
  </si>
  <si>
    <t>7400,75,74096,Petrol,110,1,0,1600,3,1050</t>
  </si>
  <si>
    <t>8800,79,74093,Petrol,110,1,0,1600,5,1075</t>
  </si>
  <si>
    <t>7750,71,74000,Petrol,110,0,0,1600,3,1050</t>
  </si>
  <si>
    <t>7500,75,74000,Petrol,86,1,0,1300,3,1015</t>
  </si>
  <si>
    <t>8450,78,73638,Petrol,86,1,1,1300,4,1015</t>
  </si>
  <si>
    <t>7400,75,73460,Petrol,110,1,0,1600,5,1070</t>
  </si>
  <si>
    <t>7500,80,73200,Petrol,110,1,0,1600,5,1070</t>
  </si>
  <si>
    <t>8950,76,73116,Petrol,110,1,0,1600,5,1075</t>
  </si>
  <si>
    <t>8950,70,73014,Petrol,110,1,0,1600,5,1075</t>
  </si>
  <si>
    <t>7950,77,72703,Petrol,110,1,0,1600,3,1050</t>
  </si>
  <si>
    <t>7950,79,72328,Petrol,110,1,0,1600,5,1075</t>
  </si>
  <si>
    <t>7950,78,72222,Petrol,110,1,0,1600,5,1070</t>
  </si>
  <si>
    <t>8950,71,72128,Petrol,107,1,1,1600,5,1100</t>
  </si>
  <si>
    <t>7750,78,72090,Petrol,110,1,0,1600,5,1070</t>
  </si>
  <si>
    <t>8250,78,72000,Petrol,110,1,0,1600,4,1035</t>
  </si>
  <si>
    <t>7950,78,72000,Petrol,110,0,0,1600,3,1055</t>
  </si>
  <si>
    <t>7750,77,71900,Petrol,86,1,0,1300,3,1015</t>
  </si>
  <si>
    <t>8500,77,71825,Petrol,110,0,0,1600,5,1075</t>
  </si>
  <si>
    <t>6950,80,71740,Petrol,110,1,0,1600,5,1070</t>
  </si>
  <si>
    <t>7500,80,71500,Petrol,110,1,0,1600,4,1035</t>
  </si>
  <si>
    <t>7750,79,71359,Petrol,110,1,0,1600,3,1050</t>
  </si>
  <si>
    <t>5950,79,71263,Petrol,86,0,0,1300,3,1015</t>
  </si>
  <si>
    <t>7500,78,71186,Petrol,110,0,0,1600,3,1050</t>
  </si>
  <si>
    <t>8950,72,71054,Petrol,86,0,1,1300,3,1045</t>
  </si>
  <si>
    <t>7950,76,71000,Petrol,110,1,0,1600,3,1050</t>
  </si>
  <si>
    <t>6900,80,70939,Petrol,110,1,1,1600,5,1100</t>
  </si>
  <si>
    <t>7450,77,70932,Petrol,110,1,0,1600,3,1050</t>
  </si>
  <si>
    <t>8500,80,70597,Petrol,107,1,1,1600,3,1080</t>
  </si>
  <si>
    <t>7500,73,70482,Petrol,110,1,0,1600,5,1075</t>
  </si>
  <si>
    <t>8750,77,70124,Petrol,110,1,0,1600,3,1050</t>
  </si>
  <si>
    <t>7500,76,70039,Petrol,110,1,0,1600,3,1050</t>
  </si>
  <si>
    <t>9950,80,69904,Petrol,110,0,0,1600,5,1070</t>
  </si>
  <si>
    <t>7950,75,69388,Petrol,86,0,0,1300,3,1010</t>
  </si>
  <si>
    <t>9950,75,69320,Petrol,110,1,0,1600,5,1070</t>
  </si>
  <si>
    <t>9250,78,69000,Petrol,110,1,0,1600,5,1075</t>
  </si>
  <si>
    <t>9250,73,68988,Petrol,86,1,0,1300,5,1035</t>
  </si>
  <si>
    <t>9950,79,68945,Petrol,110,1,0,1600,5,1085</t>
  </si>
  <si>
    <t>5950,74,68285,Petrol,110,1,0,1600,3,1050</t>
  </si>
  <si>
    <t>7995,76,68000,Petrol,110,1,0,1600,5,1075</t>
  </si>
  <si>
    <t>8950,70,68000,Petrol,86,1,1,1300,3,1045</t>
  </si>
  <si>
    <t>7450,75,67451,Petrol,86,1,0,1300,4,1000</t>
  </si>
  <si>
    <t>8250,76,67266,Petrol,86,1,0,1300,5,1035</t>
  </si>
  <si>
    <t>8500,78,67255,Petrol,110,0,0,1600,5,1085</t>
  </si>
  <si>
    <t>8500,70,67100,Petrol,110,1,0,1600,5,1075</t>
  </si>
  <si>
    <t>9400,69,67092,Diesel,72,1,0,2000,3,1115</t>
  </si>
  <si>
    <t>7250,80,66880,Petrol,110,1,0,1600,3,1055</t>
  </si>
  <si>
    <t>8950,79,66855,Petrol,110,1,0,1600,5,1075</t>
  </si>
  <si>
    <t>9450,80,66843,Petrol,110,1,0,1600,5,1075</t>
  </si>
  <si>
    <t>8500,74,66718,Petrol,110,1,0,1600,3,1050</t>
  </si>
  <si>
    <t>6750,80,66168,Petrol,86,1,0,1300,3,1015</t>
  </si>
  <si>
    <t>7400,80,65950,Petrol,110,0,0,1600,5,1070</t>
  </si>
  <si>
    <t>8950,78,65500,Petrol,86,1,0,1300,3,1015</t>
  </si>
  <si>
    <t>6900,80,65307,Petrol,110,1,0,1600,3,1055</t>
  </si>
  <si>
    <t>7750,79,65254,Petrol,86,1,0,1300,3,1015</t>
  </si>
  <si>
    <t>8950,71,65021,Diesel,72,1,0,2000,3,1115</t>
  </si>
  <si>
    <t>6950,75,65006,Petrol,86,1,0,1300,3,1015</t>
  </si>
  <si>
    <t>8495,77,64280,Petrol,110,0,0,1600,4,1035</t>
  </si>
  <si>
    <t>10000,75,64000,Petrol,107,0,1,1600,3,1085</t>
  </si>
  <si>
    <t>6999,71,64000,Petrol,110,1,0,1600,5,1070</t>
  </si>
  <si>
    <t>8950,80,64000,Petrol,110,0,0,1600,3,1055</t>
  </si>
  <si>
    <t>8500,79,63918,Petrol,110,0,0,1600,4,1035</t>
  </si>
  <si>
    <t>8750,75,63634,Petrol,110,1,0,1600,4,1035</t>
  </si>
  <si>
    <t>7499,80,63500,Petrol,110,1,0,1600,3,1050</t>
  </si>
  <si>
    <t>9000,80,63266,Petrol,110,1,0,1600,4,1035</t>
  </si>
  <si>
    <t>8950,77,62595,Petrol,110,1,0,1600,3,1050</t>
  </si>
  <si>
    <t>6950,80,62581,Petrol,110,0,0,1600,5,1075</t>
  </si>
  <si>
    <t>8500,77,62285,Petrol,110,1,0,1600,5,1075</t>
  </si>
  <si>
    <t>8450,77,61906,Petrol,86,1,1,1300,5,1065</t>
  </si>
  <si>
    <t>8950,74,61700,Petrol,110,0,0,1600,5,1070</t>
  </si>
  <si>
    <t>8250,77,61648,Petrol,110,1,0,1600,5,1070</t>
  </si>
  <si>
    <t>7950,75,61626,Petrol,86,0,0,1300,5,1035</t>
  </si>
  <si>
    <t>7450,70,61510,Petrol,110,0,0,1600,4,1035</t>
  </si>
  <si>
    <t>9000,79,61165,Petrol,107,1,1,1600,3,1080</t>
  </si>
  <si>
    <t>7150,70,61000,Petrol,110,1,0,1600,4,1035</t>
  </si>
  <si>
    <t>7750,76,60833,Petrol,110,1,0,1600,4,1035</t>
  </si>
  <si>
    <t>5845,70,60600,Petrol,86,0,0,1300,3,1060</t>
  </si>
  <si>
    <t>8500,72,60483,Petrol,110,1,0,1600,5,1075</t>
  </si>
  <si>
    <t>8250,80,60476,Petrol,110,1,0,1600,5,1114</t>
  </si>
  <si>
    <t>9450,79,60142,Petrol,110,0,0,1600,3,1050</t>
  </si>
  <si>
    <t>6750,69,60050,Petrol,110,1,0,1600,3,1050</t>
  </si>
  <si>
    <t>8400,77,60000,Petrol,110,1,0,1600,3,1050</t>
  </si>
  <si>
    <t>7900,76,60000,Petrol,110,0,0,1600,3,1050</t>
  </si>
  <si>
    <t>7950,76,59815,Petrol,110,1,0,1587,3,1055</t>
  </si>
  <si>
    <t>8750,80,59326,Petrol,110,1,0,1600,5,1085</t>
  </si>
  <si>
    <t>9900,73,59240,Petrol,110,1,0,1600,3,1050</t>
  </si>
  <si>
    <t>6495,71,59164,Petrol,110,0,0,1600,4,1035</t>
  </si>
  <si>
    <t>8250,70,59017,Petrol,107,1,1,1600,3,1080</t>
  </si>
  <si>
    <t>6900,69,58952,Petrol,110,1,0,1600,3,1050</t>
  </si>
  <si>
    <t>7500,74,58454,Petrol,86,1,0,1300,3,1015</t>
  </si>
  <si>
    <t>7950,75,58341,Petrol,86,1,1,1300,4,1030</t>
  </si>
  <si>
    <t>8250,80,58267,Petrol,110,1,0,1600,5,1070</t>
  </si>
  <si>
    <t>8950,80,58000,Petrol,110,0,0,1600,3,1055</t>
  </si>
  <si>
    <t>9750,70,57829,Petrol,110,0,0,1600,3,1050</t>
  </si>
  <si>
    <t>8250,80,57787,Petrol,86,0,0,1300,3,1015</t>
  </si>
  <si>
    <t>8900,78,57628,Petrol,110,0,0,1600,5,1075</t>
  </si>
  <si>
    <t>8950,75,57537,Petrol,86,1,0,1300,5,1050</t>
  </si>
  <si>
    <t>6750,76,57263,Petrol,110,1,0,1600,3,1050</t>
  </si>
  <si>
    <t>7950,75,57144,Petrol,110,1,0,1600,5,1070</t>
  </si>
  <si>
    <t>8600,69,57096,Petrol,86,1,0,1300,3,1025</t>
  </si>
  <si>
    <t>7750,80,57000,Petrol,86,0,0,1300,4,1000</t>
  </si>
  <si>
    <t>7800,73,56566,Petrol,110,1,0,1600,3,1050</t>
  </si>
  <si>
    <t>8750,73,56307,Petrol,110,1,0,1600,3,1050</t>
  </si>
  <si>
    <t>9500,79,56214,Petrol,86,0,0,1300,3,1015</t>
  </si>
  <si>
    <t>7750,74,56132,Petrol,110,0,0,1600,4,1035</t>
  </si>
  <si>
    <t>9950,79,55425,Petrol,110,0,0,1600,5,1075</t>
  </si>
  <si>
    <t>7750,77,54439,Petrol,86,1,0,1300,3,1015</t>
  </si>
  <si>
    <t>5950,69,53809,Petrol,110,1,0,1600,3,1050</t>
  </si>
  <si>
    <t>10950,76,53133,Petrol,110,1,0,1600,5,1070</t>
  </si>
  <si>
    <t>9450,77,52900,Petrol,110,1,0,1600,4,1075</t>
  </si>
  <si>
    <t>8250,80,52700,Petrol,110,0,0,1600,3,1050</t>
  </si>
  <si>
    <t>9750,69,52320,Petrol,110,0,0,1600,5,1070</t>
  </si>
  <si>
    <t>7450,78,52287,Petrol,110,0,0,1600,5,1114</t>
  </si>
  <si>
    <t>8750,75,52000,Petrol,110,0,0,1600,5,1075</t>
  </si>
  <si>
    <t>8750,69,52000,Petrol,110,1,0,1600,3,1050</t>
  </si>
  <si>
    <t>8500,73,52000,Petrol,110,1,1,1600,4,1065</t>
  </si>
  <si>
    <t>8950,70,51874,Petrol,86,0,0,1300,4,1000</t>
  </si>
  <si>
    <t>7500,79,49827,Petrol,86,1,0,1300,5,1035</t>
  </si>
  <si>
    <t>7250,69,49640,Petrol,110,1,0,1600,4,1035</t>
  </si>
  <si>
    <t>7450,80,49580,Petrol,110,1,0,1600,4,1035</t>
  </si>
  <si>
    <t>8750,76,49170,Petrol,86,0,0,1300,3,1045</t>
  </si>
  <si>
    <t>9800,77,48838,Petrol,110,0,0,1600,3,1055</t>
  </si>
  <si>
    <t>7500,71,48576,Petrol,86,1,0,1300,3,1015</t>
  </si>
  <si>
    <t>8950,75,48400,Petrol,110,1,0,1600,5,1075</t>
  </si>
  <si>
    <t>8950,74,48242,Petrol,86,1,0,1300,5,1035</t>
  </si>
  <si>
    <t>7450,70,47955,Petrol,110,1,0,1600,5,1070</t>
  </si>
  <si>
    <t>8950,71,47633,Petrol,110,1,0,1600,5,1075</t>
  </si>
  <si>
    <t>10500,78,47400,Petrol,86,1,0,1300,5,1040</t>
  </si>
  <si>
    <t>7000,73,47360,Petrol,86,0,0,1300,3,1010</t>
  </si>
  <si>
    <t>8500,77,45507,Petrol,110,1,0,1600,3,1050</t>
  </si>
  <si>
    <t>7750,76,45410,Petrol,86,1,0,1300,5,1035</t>
  </si>
  <si>
    <t>8950,70,44850,Petrol,110,1,0,1600,3,1050</t>
  </si>
  <si>
    <t>8250,69,44826,Petrol,110,0,0,1600,5,1075</t>
  </si>
  <si>
    <t>9250,80,44444,Petrol,110,1,0,1600,3,1050</t>
  </si>
  <si>
    <t>7900,75,43720,Petrol,110,1,0,1600,5,1070</t>
  </si>
  <si>
    <t>8500,78,43622,Petrol,86,1,0,1300,4,1000</t>
  </si>
  <si>
    <t>7950,76,43532,Petrol,110,0,0,1600,5,1070</t>
  </si>
  <si>
    <t>9950,69,42800,Petrol,110,1,0,1600,3,1050</t>
  </si>
  <si>
    <t>8750,74,42317,Petrol,107,1,1,1600,5,1100</t>
  </si>
  <si>
    <t>7500,80,42186,Petrol,110,1,0,1600,3,1050</t>
  </si>
  <si>
    <t>6950,72,42000,Petrol,110,1,0,1600,3,1050</t>
  </si>
  <si>
    <t>8950,79,40093,Petrol,110,0,0,1600,5,1114</t>
  </si>
  <si>
    <t>8750,79,39800,Petrol,107,0,1,1600,3,1080</t>
  </si>
  <si>
    <t>7750,73,39168,Petrol,86,0,0,1300,3,1015</t>
  </si>
  <si>
    <t>8450,75,38945,Petrol,110,1,0,1600,3,1050</t>
  </si>
  <si>
    <t>8150,76,36537,Petrol,110,0,1,1600,4,1075</t>
  </si>
  <si>
    <t>8500,78,36000,Petrol,86,0,1,1300,3,1045</t>
  </si>
  <si>
    <t>7600,78,36000,Petrol,110,1,0,1600,3,1050</t>
  </si>
  <si>
    <t>7950,80,35821,Petrol,86,0,1,1300,3,1015</t>
  </si>
  <si>
    <t>7750,73,34717,Petrol,86,0,0,1300,3,1015</t>
  </si>
  <si>
    <t>7950,80,34000,Petrol,86,1,0,1300,4,1000</t>
  </si>
  <si>
    <t>9950,78,30964,Petrol,110,0,1,1600,3,1080</t>
  </si>
  <si>
    <t>8950,71,29000,Petrol,86,1,1,1300,3,1045</t>
  </si>
  <si>
    <t>8450,72,26000,Petrol,86,0,0,1300,3,1015</t>
  </si>
  <si>
    <t>8950,78,24000,Petrol,86,1,1,1300,5,1065</t>
  </si>
  <si>
    <t>8450,80,23000,Petrol,86,0,0,1300,3,1015</t>
  </si>
  <si>
    <t>7500,69,20544,Petrol,86,1,0,1300,3,1025</t>
  </si>
  <si>
    <t>10845,72,19000,Petrol,86,0,0,1300,3,1015</t>
  </si>
  <si>
    <t>8500,71,17016,Petrol,86,0,0,1300,3,1015</t>
  </si>
  <si>
    <t>7250,70,16916,Petrol,86,1,0,1300,3,1015</t>
  </si>
  <si>
    <t>6950,76,1,Petrol,110,0,0,1600,5,1114</t>
  </si>
  <si>
    <t>When comparing the R-squared values from Model 1 and Model 2, which represent the proportion of variation explained by the model, we see that Model 2 has a higher R-squared value than Model 1 (0.8693 compared to 0.7012). This indicates that Model 2 explains more of the variance in sale prices.
Additionally, when looking at the root mean square error (RMSE), which measures the absolute fit of the model to the data by indicating the average prediction error, we see that Model 1 has a higher RMSE compared to Model 2 (2078.704 vs. 1283.097). This means that Model 1 has larger prediction errors.
In conclusion, Model 2, which uses all 9 parameters, is the better model as it explains more variance and has a lower prediction error.</t>
  </si>
  <si>
    <t xml:space="preserve">For this task, the objective is to predict the sale price of a used Toyota Corolla based on several vehicle characteristics, making it a regression problem. The appropriate techniques here are linear regression methods because we have a labeled dataset where the dependent variable, "sale price," is known, and we use other features/variables to predict it. Since this is a regression problem with labeled data, it falls under the category of supervised learning.
 </t>
  </si>
  <si>
    <t>Task16</t>
  </si>
  <si>
    <t>PC Purchase Data</t>
  </si>
  <si>
    <t>Processor</t>
  </si>
  <si>
    <t>Screen Size</t>
  </si>
  <si>
    <t>Memory</t>
  </si>
  <si>
    <t>Hard Drive</t>
  </si>
  <si>
    <t>Intel Core i3</t>
  </si>
  <si>
    <t>Intel Core i5</t>
  </si>
  <si>
    <t>Intel Core i7</t>
  </si>
  <si>
    <t>10 inch screen</t>
  </si>
  <si>
    <t>12 inch screen</t>
  </si>
  <si>
    <t>15 inch screen</t>
  </si>
  <si>
    <t xml:space="preserve">2 GB </t>
  </si>
  <si>
    <t>4 GB</t>
  </si>
  <si>
    <t>8 GB</t>
  </si>
  <si>
    <t>320 GB</t>
  </si>
  <si>
    <t>500 GB</t>
  </si>
  <si>
    <t>750 GB</t>
  </si>
  <si>
    <t>Support measures how frequently an itemset appears in the dataset. It is the percentage of transactions that include all items both antecedent and consequent. In this example we have [1] {15_inch_screen, Intel_Core_i7} =&gt; {759_GB} which have the support of 0.075, meaning that 7.5% of the total transactions include this combination. The formula for calculating support is: Support(X=&gt;Y)=(number of baskets that contains X and Y)/(total number of baskets).
Confidence measures the likelihood that the items in the consequent are chosen given that the items in the antecedent have been selected. In the given example [1] the confidence was 1, meaning that every time a customer selected {15_inch_screen, Intel_Core_i7}, they also selected {759}. The formula for calculating confidence is: Confidence(X=&gt;Y)=support(X=&gt;Y)/(support(X)), where support(X)=(number of baskets that contains X)/(total number of baskets).
Lift is a ratio of confidence to expected confidence. It measures how much more likely the consequent is selected given the antecedent, compared to the overall selection rate of the consequent. The higher the lift ratio, the stronger the association rule; a value greater than 1.0 is usually a good minimum. In this example the lift for association rule [3] {15_inch_screen, Intel_Core_i7} =&gt; {759_GB} is 3.9. This indicates that customer who chose the antecedent are 3.9 times more likely to select a 759 GB hard drive (consequent) than those who don’t. The formula for calculating the lift is Lift(X=&gt;Y)=support(X=&gt;Y)/(support(X)*support(Y)). In this case, the rules with high confidence (all with a confidence of 1) and high lift values (3.9, 2.1, and 1.8) indicate that these rules provide strong associations between the components.</t>
  </si>
  <si>
    <t>Identifying which components, such as processor type, screen size, memory, and hard drive that are frequently ordered together is typically an association rule problem. The Apriori algorithm is the most commonly used method to discover such association rules. Given a set of itemsets, the algorithm attempts to find subsets that appear frequently in at least a minimum number of itemsets. Apriori uses a bottom-up approach, where frequent subsets are extended one item at a time, and groups of candidates at each level are tested against the data for minimum support. This technique is unsupervised learning because we are not working with labeled data or trying to predict a target variable.
A possible result from using the Apriori algorithm might be discovering rules like if a customer orders a specific type of processor, they are likely to choose a larger screen size. This can help in understanding how different components are related.</t>
  </si>
  <si>
    <t>The results from association rule learning can help improve business in several ways. By identifying which components are frequently ordered together, the company can offer bundled discounts on those combinations or position the items near each other to make it more convenient for customers, potentially increasing sales. Another thing companies can do is placing them apart from each other so that customers must walk the aisles to search for it, and by doing so potentially seeing and buying other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</si>
</sst>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kr&quot;\ * #,##0.00_-;\-&quot;kr&quot;\ * #,##0.00_-;_-&quot;kr&quot;\ * &quot;-&quot;??_-;_-@_-"/>
    <numFmt numFmtId="164" formatCode="&quot;$&quot;#,##0.00;\(&quot;$&quot;#,##0.00\)"/>
    <numFmt numFmtId="165" formatCode="&quot;$&quot;#,##0.00_);[Red]\(&quot;$&quot;#,##0.00\)"/>
    <numFmt numFmtId="166" formatCode="0.0%"/>
    <numFmt numFmtId="167" formatCode="&quot;$&quot;#,##0_);[Red]\(&quot;$&quot;#,##0\)"/>
    <numFmt numFmtId="168" formatCode="&quot;$&quot;#,##0.00"/>
    <numFmt numFmtId="169" formatCode="&quot;$&quot;#,##0"/>
    <numFmt numFmtId="170" formatCode="#,###,##0"/>
    <numFmt numFmtId="171" formatCode="0.000"/>
    <numFmt numFmtId="172" formatCode="_(&quot;$&quot;* #,##0.00_);_(&quot;$&quot;* \(#,##0.00\);_(&quot;$&quot;* &quot;-&quot;??_);_(@_)"/>
    <numFmt numFmtId="173" formatCode="_(&quot;$&quot;* #,##0_);_(&quot;$&quot;* \(#,##0\);_(&quot;$&quot;* &quot;-&quot;??_);_(@_)"/>
  </numFmts>
  <fonts count="18">
    <font>
      <sz val="11"/>
      <color theme="1"/>
      <name val="Calibri"/>
      <family val="2"/>
      <scheme val="minor"/>
    </font>
    <font>
      <b/>
      <sz val="11"/>
      <color theme="1"/>
      <name val="Calibri"/>
      <family val="2"/>
      <scheme val="minor"/>
    </font>
    <font>
      <b/>
      <sz val="10"/>
      <name val="Arial"/>
      <family val="2"/>
    </font>
    <font>
      <b/>
      <sz val="11"/>
      <color rgb="FFFF0000"/>
      <name val="Calibri"/>
      <family val="2"/>
      <scheme val="minor"/>
    </font>
    <font>
      <b/>
      <sz val="10"/>
      <color theme="1"/>
      <name val="Arial"/>
      <family val="2"/>
    </font>
    <font>
      <sz val="10"/>
      <color theme="1"/>
      <name val="Arial"/>
      <family val="2"/>
    </font>
    <font>
      <sz val="10"/>
      <color indexed="8"/>
      <name val="Arial"/>
      <family val="2"/>
    </font>
    <font>
      <b/>
      <sz val="10"/>
      <color indexed="8"/>
      <name val="Arial"/>
      <family val="2"/>
    </font>
    <font>
      <sz val="10"/>
      <name val="Arial"/>
      <family val="2"/>
    </font>
    <font>
      <i/>
      <sz val="11"/>
      <color theme="1"/>
      <name val="Calibri"/>
      <family val="2"/>
      <scheme val="minor"/>
    </font>
    <font>
      <sz val="8"/>
      <name val="Calibri"/>
      <family val="2"/>
      <scheme val="minor"/>
    </font>
    <font>
      <sz val="12"/>
      <color theme="1"/>
      <name val="Calibri"/>
      <family val="2"/>
      <charset val="128"/>
      <scheme val="minor"/>
    </font>
    <font>
      <i/>
      <sz val="11"/>
      <color rgb="FFFF0000"/>
      <name val="Calibri"/>
      <family val="2"/>
      <scheme val="minor"/>
    </font>
    <font>
      <sz val="10"/>
      <color rgb="FFFF0000"/>
      <name val="Arial"/>
      <family val="2"/>
    </font>
    <font>
      <sz val="11"/>
      <color theme="1"/>
      <name val="Calibri"/>
      <family val="2"/>
      <scheme val="minor"/>
    </font>
    <font>
      <sz val="11"/>
      <color rgb="FF000000"/>
      <name val="Calibri"/>
      <family val="2"/>
    </font>
    <font>
      <b/>
      <sz val="11"/>
      <color rgb="FF000000"/>
      <name val="Calibri"/>
      <family val="2"/>
    </font>
    <font>
      <b/>
      <sz val="10"/>
      <color rgb="FFFF0000"/>
      <name val="Arial"/>
      <family val="2"/>
    </font>
  </fonts>
  <fills count="7">
    <fill>
      <patternFill patternType="none"/>
    </fill>
    <fill>
      <patternFill patternType="gray125"/>
    </fill>
    <fill>
      <patternFill patternType="solid">
        <fgColor rgb="FFBDD6EE"/>
        <bgColor rgb="FFBDD6EE"/>
      </patternFill>
    </fill>
    <fill>
      <patternFill patternType="solid">
        <fgColor theme="7"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38">
    <border>
      <left/>
      <right/>
      <top/>
      <bottom/>
      <diagonal/>
    </border>
    <border>
      <left/>
      <right/>
      <top/>
      <bottom style="double">
        <color auto="1"/>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8"/>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9">
    <xf numFmtId="0" fontId="0" fillId="0" borderId="0"/>
    <xf numFmtId="0" fontId="6" fillId="0" borderId="0"/>
    <xf numFmtId="0" fontId="8" fillId="0" borderId="0"/>
    <xf numFmtId="9" fontId="8" fillId="0" borderId="0" applyFont="0" applyFill="0" applyBorder="0" applyAlignment="0" applyProtection="0"/>
    <xf numFmtId="0" fontId="11" fillId="0" borderId="0"/>
    <xf numFmtId="44" fontId="14" fillId="0" borderId="0" applyFont="0" applyFill="0" applyBorder="0" applyAlignment="0" applyProtection="0"/>
    <xf numFmtId="0" fontId="15" fillId="0" borderId="0"/>
    <xf numFmtId="172" fontId="8" fillId="0" borderId="0" applyFont="0" applyFill="0" applyBorder="0" applyAlignment="0" applyProtection="0"/>
    <xf numFmtId="9" fontId="8" fillId="0" borderId="0" applyFont="0" applyFill="0" applyBorder="0" applyAlignment="0" applyProtection="0"/>
  </cellStyleXfs>
  <cellXfs count="160">
    <xf numFmtId="0" fontId="0" fillId="0" borderId="0" xfId="0"/>
    <xf numFmtId="0" fontId="1" fillId="0" borderId="0" xfId="0" applyFont="1"/>
    <xf numFmtId="0" fontId="2" fillId="0" borderId="0" xfId="0" applyFont="1"/>
    <xf numFmtId="0" fontId="2" fillId="0" borderId="1" xfId="0" applyFont="1" applyBorder="1"/>
    <xf numFmtId="0" fontId="0" fillId="0" borderId="0" xfId="0" applyAlignment="1">
      <alignment horizontal="center"/>
    </xf>
    <xf numFmtId="0" fontId="3" fillId="0" borderId="0" xfId="0" applyFont="1"/>
    <xf numFmtId="0" fontId="4" fillId="0" borderId="0" xfId="0" applyFont="1"/>
    <xf numFmtId="0" fontId="5" fillId="0" borderId="0" xfId="0" applyFont="1"/>
    <xf numFmtId="0" fontId="7" fillId="0" borderId="1" xfId="1" applyFont="1" applyBorder="1" applyAlignment="1">
      <alignment horizontal="center"/>
    </xf>
    <xf numFmtId="0" fontId="6" fillId="0" borderId="2" xfId="1" applyBorder="1" applyAlignment="1">
      <alignment horizontal="right" wrapText="1"/>
    </xf>
    <xf numFmtId="0" fontId="6" fillId="0" borderId="2" xfId="1" applyBorder="1" applyAlignment="1">
      <alignment wrapText="1"/>
    </xf>
    <xf numFmtId="164" fontId="6" fillId="0" borderId="2" xfId="1" applyNumberFormat="1" applyBorder="1" applyAlignment="1">
      <alignment horizontal="right" wrapText="1"/>
    </xf>
    <xf numFmtId="15" fontId="6" fillId="0" borderId="2" xfId="1" applyNumberFormat="1" applyBorder="1" applyAlignment="1">
      <alignment horizontal="right" wrapText="1"/>
    </xf>
    <xf numFmtId="0" fontId="6" fillId="0" borderId="3" xfId="1" applyBorder="1" applyAlignment="1">
      <alignment horizontal="right" wrapText="1"/>
    </xf>
    <xf numFmtId="0" fontId="6" fillId="0" borderId="3" xfId="1" applyBorder="1" applyAlignment="1">
      <alignment wrapText="1"/>
    </xf>
    <xf numFmtId="164" fontId="6" fillId="0" borderId="3" xfId="1" applyNumberFormat="1" applyBorder="1" applyAlignment="1">
      <alignment horizontal="right" wrapText="1"/>
    </xf>
    <xf numFmtId="15" fontId="6" fillId="0" borderId="3" xfId="1" applyNumberFormat="1" applyBorder="1" applyAlignment="1">
      <alignment horizontal="right" wrapText="1"/>
    </xf>
    <xf numFmtId="0" fontId="6" fillId="0" borderId="0" xfId="1" applyAlignment="1">
      <alignment horizontal="center"/>
    </xf>
    <xf numFmtId="166" fontId="0" fillId="0" borderId="0" xfId="3" applyNumberFormat="1" applyFont="1" applyAlignment="1">
      <alignment horizontal="center"/>
    </xf>
    <xf numFmtId="0" fontId="2" fillId="0" borderId="0" xfId="0" applyFont="1" applyAlignment="1">
      <alignment horizontal="center"/>
    </xf>
    <xf numFmtId="165" fontId="0" fillId="0" borderId="0" xfId="0" applyNumberFormat="1" applyAlignment="1">
      <alignment horizontal="center"/>
    </xf>
    <xf numFmtId="0" fontId="0" fillId="0" borderId="4" xfId="0" applyBorder="1"/>
    <xf numFmtId="0" fontId="9" fillId="0" borderId="5" xfId="0" applyFont="1" applyBorder="1" applyAlignment="1">
      <alignment horizontal="center"/>
    </xf>
    <xf numFmtId="0" fontId="0" fillId="0" borderId="0" xfId="0" applyAlignment="1">
      <alignment horizontal="right"/>
    </xf>
    <xf numFmtId="0" fontId="0" fillId="0" borderId="0" xfId="0" applyAlignment="1">
      <alignment horizontal="left"/>
    </xf>
    <xf numFmtId="20" fontId="0" fillId="0" borderId="0" xfId="0" applyNumberFormat="1"/>
    <xf numFmtId="0" fontId="2" fillId="0" borderId="1" xfId="0" applyFont="1" applyBorder="1" applyAlignment="1">
      <alignment horizontal="left"/>
    </xf>
    <xf numFmtId="20" fontId="2" fillId="0" borderId="1" xfId="0" applyNumberFormat="1" applyFont="1" applyBorder="1"/>
    <xf numFmtId="165" fontId="0" fillId="0" borderId="0" xfId="0" applyNumberFormat="1"/>
    <xf numFmtId="167" fontId="0" fillId="0" borderId="0" xfId="0" applyNumberFormat="1"/>
    <xf numFmtId="0" fontId="0" fillId="0" borderId="0" xfId="0" pivotButton="1"/>
    <xf numFmtId="0" fontId="0" fillId="0" borderId="0" xfId="0" applyAlignment="1">
      <alignment horizontal="left" indent="1"/>
    </xf>
    <xf numFmtId="0" fontId="0" fillId="0" borderId="0" xfId="0" applyAlignment="1">
      <alignment vertical="top" wrapText="1"/>
    </xf>
    <xf numFmtId="0" fontId="4" fillId="0" borderId="0" xfId="0" applyFont="1" applyAlignment="1">
      <alignment horizontal="left"/>
    </xf>
    <xf numFmtId="0" fontId="5" fillId="0" borderId="0" xfId="0" applyFont="1" applyAlignment="1">
      <alignment horizontal="left"/>
    </xf>
    <xf numFmtId="0" fontId="4" fillId="0" borderId="0" xfId="0" applyFont="1" applyAlignment="1">
      <alignment horizontal="left" wrapText="1"/>
    </xf>
    <xf numFmtId="168" fontId="4" fillId="0" borderId="0" xfId="0" applyNumberFormat="1" applyFont="1" applyAlignment="1">
      <alignment horizontal="left" wrapText="1"/>
    </xf>
    <xf numFmtId="169" fontId="5" fillId="0" borderId="0" xfId="0" applyNumberFormat="1" applyFont="1" applyAlignment="1">
      <alignment horizontal="left" wrapText="1"/>
    </xf>
    <xf numFmtId="0" fontId="5" fillId="0" borderId="0" xfId="0" applyFont="1" applyAlignment="1">
      <alignment horizontal="left" wrapText="1"/>
    </xf>
    <xf numFmtId="168" fontId="5" fillId="0" borderId="0" xfId="0" applyNumberFormat="1" applyFont="1" applyAlignment="1">
      <alignment horizontal="left"/>
    </xf>
    <xf numFmtId="168" fontId="5" fillId="0" borderId="0" xfId="0" applyNumberFormat="1" applyFont="1" applyAlignment="1">
      <alignment horizontal="left" wrapText="1"/>
    </xf>
    <xf numFmtId="0" fontId="0" fillId="0" borderId="6" xfId="0" applyBorder="1"/>
    <xf numFmtId="168" fontId="0" fillId="0" borderId="7" xfId="0" applyNumberFormat="1" applyBorder="1"/>
    <xf numFmtId="0" fontId="0" fillId="0" borderId="8" xfId="0" applyBorder="1"/>
    <xf numFmtId="168" fontId="0" fillId="0" borderId="9" xfId="0" applyNumberFormat="1" applyBorder="1"/>
    <xf numFmtId="0" fontId="0" fillId="0" borderId="10" xfId="0" applyBorder="1"/>
    <xf numFmtId="0" fontId="0" fillId="0" borderId="11" xfId="0" applyBorder="1"/>
    <xf numFmtId="0" fontId="4" fillId="0" borderId="1" xfId="0" applyFont="1" applyBorder="1"/>
    <xf numFmtId="0" fontId="2" fillId="0" borderId="0" xfId="0" applyFont="1" applyAlignment="1">
      <alignment horizontal="right"/>
    </xf>
    <xf numFmtId="0" fontId="7" fillId="0" borderId="1" xfId="0" applyFont="1" applyBorder="1" applyAlignment="1">
      <alignment horizontal="right" vertical="center"/>
    </xf>
    <xf numFmtId="0" fontId="7" fillId="0" borderId="1" xfId="0" applyFont="1" applyBorder="1" applyAlignment="1">
      <alignment horizontal="left" vertical="center"/>
    </xf>
    <xf numFmtId="0" fontId="6" fillId="0" borderId="0" xfId="0" applyFont="1" applyAlignment="1">
      <alignment horizontal="right" vertical="center"/>
    </xf>
    <xf numFmtId="169" fontId="0" fillId="0" borderId="0" xfId="0" applyNumberFormat="1" applyAlignment="1">
      <alignment horizontal="right"/>
    </xf>
    <xf numFmtId="0" fontId="6" fillId="0" borderId="0" xfId="0" applyFont="1" applyAlignment="1">
      <alignment vertical="center"/>
    </xf>
    <xf numFmtId="0" fontId="0" fillId="0" borderId="6" xfId="0" applyBorder="1" applyAlignment="1">
      <alignment horizontal="left"/>
    </xf>
    <xf numFmtId="0" fontId="0" fillId="0" borderId="7" xfId="0" applyBorder="1" applyAlignment="1">
      <alignment horizontal="right"/>
    </xf>
    <xf numFmtId="0" fontId="0" fillId="0" borderId="8" xfId="0" applyBorder="1" applyAlignment="1">
      <alignment horizontal="left"/>
    </xf>
    <xf numFmtId="0" fontId="0" fillId="0" borderId="9" xfId="0" applyBorder="1" applyAlignment="1">
      <alignment horizontal="right"/>
    </xf>
    <xf numFmtId="0" fontId="0" fillId="0" borderId="10" xfId="0" applyBorder="1" applyAlignment="1">
      <alignment horizontal="left"/>
    </xf>
    <xf numFmtId="0" fontId="0" fillId="0" borderId="11" xfId="0" applyBorder="1" applyAlignment="1">
      <alignment horizontal="right"/>
    </xf>
    <xf numFmtId="0" fontId="2" fillId="0" borderId="0" xfId="0" applyFont="1" applyAlignment="1">
      <alignment horizontal="left"/>
    </xf>
    <xf numFmtId="0" fontId="2" fillId="0" borderId="1" xfId="0" applyFont="1" applyBorder="1" applyAlignment="1">
      <alignment horizontal="center"/>
    </xf>
    <xf numFmtId="0" fontId="2" fillId="0" borderId="1" xfId="0" applyFont="1" applyBorder="1" applyAlignment="1">
      <alignment horizontal="left" wrapText="1"/>
    </xf>
    <xf numFmtId="0" fontId="2" fillId="0" borderId="1" xfId="0" applyFont="1" applyBorder="1" applyAlignment="1">
      <alignment horizontal="center" wrapText="1"/>
    </xf>
    <xf numFmtId="170" fontId="0" fillId="0" borderId="0" xfId="0" applyNumberFormat="1" applyAlignment="1">
      <alignment horizontal="center"/>
    </xf>
    <xf numFmtId="0" fontId="0" fillId="0" borderId="13" xfId="0" applyBorder="1"/>
    <xf numFmtId="170" fontId="0" fillId="0" borderId="12" xfId="0" applyNumberFormat="1" applyBorder="1"/>
    <xf numFmtId="0" fontId="0" fillId="0" borderId="14" xfId="0" applyBorder="1" applyAlignment="1">
      <alignment horizontal="left"/>
    </xf>
    <xf numFmtId="0" fontId="0" fillId="0" borderId="7" xfId="0" applyBorder="1" applyAlignment="1">
      <alignment horizontal="left"/>
    </xf>
    <xf numFmtId="0" fontId="0" fillId="0" borderId="8" xfId="0" applyBorder="1" applyAlignment="1">
      <alignment horizontal="left" vertical="top"/>
    </xf>
    <xf numFmtId="170" fontId="0" fillId="0" borderId="9" xfId="0" applyNumberFormat="1" applyBorder="1"/>
    <xf numFmtId="0" fontId="0" fillId="0" borderId="10" xfId="0" applyBorder="1" applyAlignment="1">
      <alignment horizontal="left" vertical="top"/>
    </xf>
    <xf numFmtId="0" fontId="0" fillId="0" borderId="15" xfId="0" applyBorder="1"/>
    <xf numFmtId="0" fontId="0" fillId="0" borderId="16" xfId="0" applyBorder="1"/>
    <xf numFmtId="0" fontId="12" fillId="0" borderId="0" xfId="0" applyFont="1"/>
    <xf numFmtId="0" fontId="0" fillId="0" borderId="7" xfId="0" applyBorder="1"/>
    <xf numFmtId="0" fontId="8" fillId="0" borderId="0" xfId="0" applyFont="1"/>
    <xf numFmtId="0" fontId="8" fillId="0" borderId="0" xfId="0" applyFont="1" applyAlignment="1">
      <alignment horizontal="right"/>
    </xf>
    <xf numFmtId="0" fontId="2" fillId="0" borderId="1" xfId="0" applyFont="1" applyBorder="1" applyAlignment="1">
      <alignment horizontal="right"/>
    </xf>
    <xf numFmtId="171" fontId="8" fillId="0" borderId="0" xfId="0" applyNumberFormat="1" applyFont="1" applyAlignment="1">
      <alignment horizontal="right"/>
    </xf>
    <xf numFmtId="2" fontId="8" fillId="0" borderId="0" xfId="0" applyNumberFormat="1" applyFont="1"/>
    <xf numFmtId="1" fontId="8" fillId="0" borderId="0" xfId="0" applyNumberFormat="1" applyFont="1" applyAlignment="1">
      <alignment horizontal="right"/>
    </xf>
    <xf numFmtId="0" fontId="0" fillId="0" borderId="9" xfId="0" applyBorder="1"/>
    <xf numFmtId="0" fontId="0" fillId="0" borderId="17" xfId="0" applyBorder="1"/>
    <xf numFmtId="0" fontId="0" fillId="0" borderId="18" xfId="0" applyBorder="1"/>
    <xf numFmtId="0" fontId="0" fillId="0" borderId="19" xfId="0" applyBorder="1"/>
    <xf numFmtId="0" fontId="0" fillId="0" borderId="20" xfId="0" applyBorder="1"/>
    <xf numFmtId="0" fontId="8" fillId="0" borderId="0" xfId="0" applyFont="1" applyAlignment="1">
      <alignment wrapText="1"/>
    </xf>
    <xf numFmtId="0" fontId="0" fillId="0" borderId="0" xfId="0" applyAlignment="1">
      <alignment wrapText="1"/>
    </xf>
    <xf numFmtId="0" fontId="13" fillId="0" borderId="0" xfId="0" applyFont="1"/>
    <xf numFmtId="0" fontId="13" fillId="0" borderId="0" xfId="0" applyFont="1" applyAlignment="1">
      <alignment horizontal="left"/>
    </xf>
    <xf numFmtId="0" fontId="0" fillId="0" borderId="21" xfId="0" applyBorder="1"/>
    <xf numFmtId="0" fontId="0" fillId="0" borderId="22" xfId="0" applyBorder="1"/>
    <xf numFmtId="0" fontId="8" fillId="0" borderId="19" xfId="0" applyFont="1" applyBorder="1"/>
    <xf numFmtId="0" fontId="8" fillId="0" borderId="20" xfId="0" applyFont="1" applyBorder="1" applyAlignment="1">
      <alignment horizontal="right"/>
    </xf>
    <xf numFmtId="0" fontId="0" fillId="0" borderId="25" xfId="0" applyBorder="1"/>
    <xf numFmtId="0" fontId="0" fillId="0" borderId="0" xfId="0" applyAlignment="1">
      <alignment horizontal="left" vertical="top"/>
    </xf>
    <xf numFmtId="0" fontId="8" fillId="0" borderId="0" xfId="0" applyFont="1" applyAlignment="1">
      <alignment vertical="top" wrapText="1"/>
    </xf>
    <xf numFmtId="0" fontId="15" fillId="0" borderId="0" xfId="6"/>
    <xf numFmtId="0" fontId="15" fillId="2" borderId="0" xfId="6" applyFill="1"/>
    <xf numFmtId="0" fontId="16" fillId="0" borderId="0" xfId="6" applyFont="1"/>
    <xf numFmtId="0" fontId="16" fillId="2" borderId="0" xfId="6" applyFont="1" applyFill="1"/>
    <xf numFmtId="0" fontId="15" fillId="0" borderId="12" xfId="6" applyBorder="1"/>
    <xf numFmtId="0" fontId="15" fillId="0" borderId="9" xfId="6" applyBorder="1"/>
    <xf numFmtId="0" fontId="15" fillId="0" borderId="15" xfId="6" applyBorder="1"/>
    <xf numFmtId="0" fontId="15" fillId="0" borderId="11" xfId="6" applyBorder="1"/>
    <xf numFmtId="0" fontId="15" fillId="0" borderId="23" xfId="6" applyBorder="1"/>
    <xf numFmtId="0" fontId="15" fillId="0" borderId="26" xfId="6" applyBorder="1"/>
    <xf numFmtId="0" fontId="15" fillId="0" borderId="27" xfId="6" applyBorder="1"/>
    <xf numFmtId="0" fontId="15" fillId="0" borderId="28" xfId="6" applyBorder="1"/>
    <xf numFmtId="0" fontId="15" fillId="0" borderId="29" xfId="6" applyBorder="1"/>
    <xf numFmtId="0" fontId="15" fillId="0" borderId="30" xfId="6" applyBorder="1"/>
    <xf numFmtId="0" fontId="15" fillId="0" borderId="31" xfId="6" applyBorder="1"/>
    <xf numFmtId="0" fontId="15" fillId="0" borderId="18" xfId="6" applyBorder="1"/>
    <xf numFmtId="0" fontId="15" fillId="0" borderId="24" xfId="6" applyBorder="1"/>
    <xf numFmtId="0" fontId="0" fillId="0" borderId="32" xfId="0" applyBorder="1"/>
    <xf numFmtId="0" fontId="15" fillId="0" borderId="33" xfId="6" applyBorder="1"/>
    <xf numFmtId="0" fontId="15" fillId="0" borderId="20" xfId="6" applyBorder="1"/>
    <xf numFmtId="0" fontId="8" fillId="0" borderId="0" xfId="2"/>
    <xf numFmtId="0" fontId="2" fillId="0" borderId="0" xfId="2" applyFont="1"/>
    <xf numFmtId="173" fontId="8" fillId="0" borderId="0" xfId="7" applyNumberFormat="1" applyFont="1" applyFill="1" applyBorder="1"/>
    <xf numFmtId="9" fontId="8" fillId="0" borderId="0" xfId="8" applyFont="1" applyFill="1" applyBorder="1"/>
    <xf numFmtId="0" fontId="2" fillId="0" borderId="1" xfId="2" applyFont="1" applyBorder="1"/>
    <xf numFmtId="0" fontId="17" fillId="0" borderId="0" xfId="2" applyFont="1"/>
    <xf numFmtId="0" fontId="3" fillId="0" borderId="0" xfId="0" applyFont="1" applyAlignment="1">
      <alignment vertical="top" wrapText="1"/>
    </xf>
    <xf numFmtId="0" fontId="5" fillId="0" borderId="34" xfId="0" applyFont="1" applyBorder="1"/>
    <xf numFmtId="0" fontId="5" fillId="0" borderId="0" xfId="0" applyFont="1" applyAlignment="1">
      <alignment horizontal="right"/>
    </xf>
    <xf numFmtId="0" fontId="3" fillId="0" borderId="0" xfId="0" applyFont="1" applyAlignment="1">
      <alignment horizontal="left"/>
    </xf>
    <xf numFmtId="3" fontId="2" fillId="0" borderId="0" xfId="0" applyNumberFormat="1" applyFont="1" applyAlignment="1">
      <alignment horizontal="left"/>
    </xf>
    <xf numFmtId="9" fontId="2" fillId="0" borderId="0" xfId="0" applyNumberFormat="1" applyFont="1" applyAlignment="1">
      <alignment horizontal="left"/>
    </xf>
    <xf numFmtId="173" fontId="5" fillId="0" borderId="0" xfId="5" applyNumberFormat="1" applyFont="1" applyAlignment="1">
      <alignment horizontal="right"/>
    </xf>
    <xf numFmtId="9" fontId="5" fillId="0" borderId="0" xfId="0" applyNumberFormat="1" applyFont="1" applyAlignment="1">
      <alignment horizontal="right"/>
    </xf>
    <xf numFmtId="0" fontId="17" fillId="0" borderId="0" xfId="0" applyFont="1" applyAlignment="1">
      <alignment horizontal="left"/>
    </xf>
    <xf numFmtId="0" fontId="0" fillId="0" borderId="12" xfId="0" applyBorder="1" applyAlignment="1">
      <alignment horizontal="left" vertical="top"/>
    </xf>
    <xf numFmtId="0" fontId="0" fillId="0" borderId="6" xfId="0" applyBorder="1" applyAlignment="1">
      <alignment horizontal="left" vertical="top"/>
    </xf>
    <xf numFmtId="0" fontId="0" fillId="0" borderId="14" xfId="0" applyBorder="1" applyAlignment="1">
      <alignment horizontal="left" vertical="top"/>
    </xf>
    <xf numFmtId="10" fontId="0" fillId="0" borderId="7" xfId="0" applyNumberFormat="1" applyBorder="1" applyAlignment="1">
      <alignment horizontal="left" vertical="top"/>
    </xf>
    <xf numFmtId="10" fontId="0" fillId="0" borderId="9" xfId="0" applyNumberFormat="1" applyBorder="1" applyAlignment="1">
      <alignment horizontal="left" vertical="top"/>
    </xf>
    <xf numFmtId="0" fontId="0" fillId="0" borderId="15" xfId="0" applyBorder="1" applyAlignment="1">
      <alignment horizontal="left" vertical="top"/>
    </xf>
    <xf numFmtId="10" fontId="0" fillId="0" borderId="11" xfId="0" applyNumberFormat="1" applyBorder="1" applyAlignment="1">
      <alignment horizontal="left" vertical="top"/>
    </xf>
    <xf numFmtId="0" fontId="4" fillId="0" borderId="0" xfId="0" applyFont="1" applyAlignment="1">
      <alignment horizontal="center"/>
    </xf>
    <xf numFmtId="0" fontId="4" fillId="3" borderId="0" xfId="0" applyFont="1" applyFill="1"/>
    <xf numFmtId="0" fontId="4" fillId="4" borderId="0" xfId="0" applyFont="1" applyFill="1"/>
    <xf numFmtId="0" fontId="4" fillId="5" borderId="0" xfId="0" applyFont="1" applyFill="1"/>
    <xf numFmtId="0" fontId="4" fillId="6" borderId="0" xfId="0" applyFont="1" applyFill="1"/>
    <xf numFmtId="0" fontId="5" fillId="3" borderId="0" xfId="0" applyFont="1" applyFill="1"/>
    <xf numFmtId="0" fontId="5" fillId="4" borderId="0" xfId="0" applyFont="1" applyFill="1"/>
    <xf numFmtId="0" fontId="5" fillId="5" borderId="0" xfId="0" applyFont="1" applyFill="1"/>
    <xf numFmtId="0" fontId="5" fillId="6" borderId="0" xfId="0" applyFont="1" applyFill="1"/>
    <xf numFmtId="2" fontId="0" fillId="0" borderId="0" xfId="0" applyNumberFormat="1"/>
    <xf numFmtId="0" fontId="0" fillId="0" borderId="0" xfId="0" applyAlignment="1">
      <alignment vertical="top" wrapText="1" readingOrder="1"/>
    </xf>
    <xf numFmtId="0" fontId="0" fillId="0" borderId="0" xfId="0" applyAlignment="1">
      <alignment vertical="top" wrapText="1"/>
    </xf>
    <xf numFmtId="0" fontId="0" fillId="0" borderId="0" xfId="0" applyAlignment="1">
      <alignment horizontal="left" vertical="top" wrapText="1"/>
    </xf>
    <xf numFmtId="0" fontId="8" fillId="0" borderId="0" xfId="0" applyFont="1"/>
    <xf numFmtId="0" fontId="8" fillId="0" borderId="0" xfId="0" applyFont="1" applyAlignment="1">
      <alignment vertical="top" wrapText="1"/>
    </xf>
    <xf numFmtId="0" fontId="0" fillId="0" borderId="0" xfId="0" applyAlignment="1">
      <alignment horizontal="left" vertical="top"/>
    </xf>
    <xf numFmtId="0" fontId="0" fillId="0" borderId="35" xfId="0" applyBorder="1" applyAlignment="1">
      <alignment horizontal="left" vertical="top"/>
    </xf>
    <xf numFmtId="0" fontId="0" fillId="0" borderId="37" xfId="0" applyBorder="1" applyAlignment="1">
      <alignment horizontal="left" vertical="top"/>
    </xf>
    <xf numFmtId="0" fontId="0" fillId="0" borderId="36" xfId="0" applyBorder="1" applyAlignment="1">
      <alignment horizontal="left" vertical="top"/>
    </xf>
    <xf numFmtId="0" fontId="4" fillId="0" borderId="0" xfId="0" applyFont="1" applyAlignment="1">
      <alignment horizontal="center"/>
    </xf>
  </cellXfs>
  <cellStyles count="9">
    <cellStyle name="Currency" xfId="5" builtinId="4"/>
    <cellStyle name="Currency 2" xfId="7" xr:uid="{4FD16401-670B-4846-97CD-45317CA79F7E}"/>
    <cellStyle name="Normal" xfId="0" builtinId="0"/>
    <cellStyle name="Normal 2" xfId="2" xr:uid="{F64DF9F9-6D0E-403A-BE64-1142045F80FF}"/>
    <cellStyle name="Normal 3" xfId="4" xr:uid="{DCD002D7-41CF-45FD-9E3D-00EDAB3ED657}"/>
    <cellStyle name="Normal 4" xfId="6" xr:uid="{6A8B46C8-B86B-44B2-8B5C-A2DEC8546BDC}"/>
    <cellStyle name="Normal_Sheet1" xfId="1" xr:uid="{B4BC5BB9-EEC1-4018-A5FC-EA62F73C56C8}"/>
    <cellStyle name="Per cent 2" xfId="3" xr:uid="{72961599-FE94-4202-B1DC-4539FF10E2F3}"/>
    <cellStyle name="Percent 2" xfId="8" xr:uid="{A3407FAD-6535-40FE-B5D1-9A2A5B39C2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rPr>
              <a:t>Relationship between Hours online/week and Friends</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nb-NO"/>
        </a:p>
      </c:txPr>
    </c:title>
    <c:autoTitleDeleted val="0"/>
    <c:plotArea>
      <c:layout/>
      <c:scatterChart>
        <c:scatterStyle val="lineMarker"/>
        <c:varyColors val="0"/>
        <c:ser>
          <c:idx val="0"/>
          <c:order val="0"/>
          <c:tx>
            <c:strRef>
              <c:f>Task1!$D$6</c:f>
              <c:strCache>
                <c:ptCount val="1"/>
                <c:pt idx="0">
                  <c:v>Friends</c:v>
                </c:pt>
              </c:strCache>
            </c:strRef>
          </c:tx>
          <c:spPr>
            <a:ln w="19050" cap="rnd">
              <a:noFill/>
              <a:round/>
            </a:ln>
            <a:effectLst/>
          </c:spPr>
          <c:marker>
            <c:symbol val="circle"/>
            <c:size val="5"/>
            <c:spPr>
              <a:solidFill>
                <a:schemeClr val="accent1"/>
              </a:solidFill>
              <a:ln w="9525">
                <a:solidFill>
                  <a:schemeClr val="accent1"/>
                </a:solidFill>
              </a:ln>
              <a:effectLst/>
            </c:spPr>
          </c:marker>
          <c:xVal>
            <c:numRef>
              <c:f>Task1!$C$7:$C$39</c:f>
              <c:numCache>
                <c:formatCode>General</c:formatCode>
                <c:ptCount val="33"/>
                <c:pt idx="0">
                  <c:v>4</c:v>
                </c:pt>
                <c:pt idx="1">
                  <c:v>10</c:v>
                </c:pt>
                <c:pt idx="2">
                  <c:v>7</c:v>
                </c:pt>
                <c:pt idx="3">
                  <c:v>15</c:v>
                </c:pt>
                <c:pt idx="4">
                  <c:v>9</c:v>
                </c:pt>
                <c:pt idx="5">
                  <c:v>5</c:v>
                </c:pt>
                <c:pt idx="6">
                  <c:v>7</c:v>
                </c:pt>
                <c:pt idx="7">
                  <c:v>5</c:v>
                </c:pt>
                <c:pt idx="8">
                  <c:v>12</c:v>
                </c:pt>
                <c:pt idx="9">
                  <c:v>2</c:v>
                </c:pt>
                <c:pt idx="10">
                  <c:v>6</c:v>
                </c:pt>
                <c:pt idx="11">
                  <c:v>2</c:v>
                </c:pt>
                <c:pt idx="12">
                  <c:v>3</c:v>
                </c:pt>
                <c:pt idx="13">
                  <c:v>6</c:v>
                </c:pt>
                <c:pt idx="14">
                  <c:v>6</c:v>
                </c:pt>
                <c:pt idx="15">
                  <c:v>4</c:v>
                </c:pt>
                <c:pt idx="16">
                  <c:v>8</c:v>
                </c:pt>
                <c:pt idx="17">
                  <c:v>10</c:v>
                </c:pt>
                <c:pt idx="18">
                  <c:v>4</c:v>
                </c:pt>
                <c:pt idx="19">
                  <c:v>4</c:v>
                </c:pt>
                <c:pt idx="20">
                  <c:v>6</c:v>
                </c:pt>
                <c:pt idx="21">
                  <c:v>4</c:v>
                </c:pt>
                <c:pt idx="22">
                  <c:v>5</c:v>
                </c:pt>
                <c:pt idx="23">
                  <c:v>9</c:v>
                </c:pt>
                <c:pt idx="24">
                  <c:v>12</c:v>
                </c:pt>
                <c:pt idx="25">
                  <c:v>8</c:v>
                </c:pt>
                <c:pt idx="26">
                  <c:v>2</c:v>
                </c:pt>
                <c:pt idx="27">
                  <c:v>7</c:v>
                </c:pt>
                <c:pt idx="28">
                  <c:v>6</c:v>
                </c:pt>
                <c:pt idx="29">
                  <c:v>4</c:v>
                </c:pt>
                <c:pt idx="30">
                  <c:v>2</c:v>
                </c:pt>
                <c:pt idx="31">
                  <c:v>5</c:v>
                </c:pt>
                <c:pt idx="32">
                  <c:v>7</c:v>
                </c:pt>
              </c:numCache>
            </c:numRef>
          </c:xVal>
          <c:yVal>
            <c:numRef>
              <c:f>Task1!$D$7:$D$39</c:f>
              <c:numCache>
                <c:formatCode>General</c:formatCode>
                <c:ptCount val="33"/>
                <c:pt idx="0">
                  <c:v>150</c:v>
                </c:pt>
                <c:pt idx="1">
                  <c:v>400</c:v>
                </c:pt>
                <c:pt idx="2">
                  <c:v>120</c:v>
                </c:pt>
                <c:pt idx="3">
                  <c:v>500</c:v>
                </c:pt>
                <c:pt idx="4">
                  <c:v>260</c:v>
                </c:pt>
                <c:pt idx="5">
                  <c:v>70</c:v>
                </c:pt>
                <c:pt idx="6">
                  <c:v>90</c:v>
                </c:pt>
                <c:pt idx="7">
                  <c:v>250</c:v>
                </c:pt>
                <c:pt idx="8">
                  <c:v>110</c:v>
                </c:pt>
                <c:pt idx="9">
                  <c:v>30</c:v>
                </c:pt>
                <c:pt idx="10">
                  <c:v>80</c:v>
                </c:pt>
                <c:pt idx="11">
                  <c:v>30</c:v>
                </c:pt>
                <c:pt idx="12">
                  <c:v>200</c:v>
                </c:pt>
                <c:pt idx="13">
                  <c:v>240</c:v>
                </c:pt>
                <c:pt idx="14">
                  <c:v>150</c:v>
                </c:pt>
                <c:pt idx="15">
                  <c:v>90</c:v>
                </c:pt>
                <c:pt idx="16">
                  <c:v>340</c:v>
                </c:pt>
                <c:pt idx="17">
                  <c:v>450</c:v>
                </c:pt>
                <c:pt idx="18">
                  <c:v>50</c:v>
                </c:pt>
                <c:pt idx="19">
                  <c:v>120</c:v>
                </c:pt>
                <c:pt idx="20">
                  <c:v>180</c:v>
                </c:pt>
                <c:pt idx="21">
                  <c:v>280</c:v>
                </c:pt>
                <c:pt idx="22">
                  <c:v>60</c:v>
                </c:pt>
                <c:pt idx="23">
                  <c:v>100</c:v>
                </c:pt>
                <c:pt idx="24">
                  <c:v>380</c:v>
                </c:pt>
                <c:pt idx="25">
                  <c:v>430</c:v>
                </c:pt>
                <c:pt idx="26">
                  <c:v>80</c:v>
                </c:pt>
                <c:pt idx="27">
                  <c:v>170</c:v>
                </c:pt>
                <c:pt idx="28">
                  <c:v>90</c:v>
                </c:pt>
                <c:pt idx="29">
                  <c:v>50</c:v>
                </c:pt>
                <c:pt idx="30">
                  <c:v>50</c:v>
                </c:pt>
                <c:pt idx="31">
                  <c:v>70</c:v>
                </c:pt>
                <c:pt idx="32">
                  <c:v>170</c:v>
                </c:pt>
              </c:numCache>
            </c:numRef>
          </c:yVal>
          <c:smooth val="0"/>
          <c:extLst>
            <c:ext xmlns:c16="http://schemas.microsoft.com/office/drawing/2014/chart" uri="{C3380CC4-5D6E-409C-BE32-E72D297353CC}">
              <c16:uniqueId val="{00000000-B736-48A1-8385-6A35C124BD81}"/>
            </c:ext>
          </c:extLst>
        </c:ser>
        <c:dLbls>
          <c:showLegendKey val="0"/>
          <c:showVal val="0"/>
          <c:showCatName val="0"/>
          <c:showSerName val="0"/>
          <c:showPercent val="0"/>
          <c:showBubbleSize val="0"/>
        </c:dLbls>
        <c:axId val="746058831"/>
        <c:axId val="746057871"/>
      </c:scatterChart>
      <c:valAx>
        <c:axId val="7460588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Hours online/week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46057871"/>
        <c:crosses val="autoZero"/>
        <c:crossBetween val="midCat"/>
      </c:valAx>
      <c:valAx>
        <c:axId val="746057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800" b="0" i="0" u="none" strike="noStrike" kern="1200" baseline="0">
                    <a:solidFill>
                      <a:sysClr val="windowText" lastClr="000000">
                        <a:lumMod val="65000"/>
                        <a:lumOff val="35000"/>
                      </a:sysClr>
                    </a:solidFill>
                  </a:rPr>
                  <a:t>Friends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460588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Automated Histogram Gross Sales</a:t>
            </a:r>
          </a:p>
        </c:rich>
      </c:tx>
      <c:overlay val="0"/>
    </c:title>
    <c:autoTitleDeleted val="0"/>
    <c:plotArea>
      <c:layout/>
      <c:barChart>
        <c:barDir val="col"/>
        <c:grouping val="clustered"/>
        <c:varyColors val="0"/>
        <c:ser>
          <c:idx val="0"/>
          <c:order val="0"/>
          <c:tx>
            <c:v>Frequency</c:v>
          </c:tx>
          <c:invertIfNegative val="0"/>
          <c:cat>
            <c:strRef>
              <c:f>'Task3 Automated Gross sales'!$A$2:$A$9</c:f>
              <c:strCache>
                <c:ptCount val="8"/>
                <c:pt idx="0">
                  <c:v>170</c:v>
                </c:pt>
                <c:pt idx="1">
                  <c:v>25731,57143</c:v>
                </c:pt>
                <c:pt idx="2">
                  <c:v>51293,14286</c:v>
                </c:pt>
                <c:pt idx="3">
                  <c:v>76854,71429</c:v>
                </c:pt>
                <c:pt idx="4">
                  <c:v>102416,2857</c:v>
                </c:pt>
                <c:pt idx="5">
                  <c:v>127977,8571</c:v>
                </c:pt>
                <c:pt idx="6">
                  <c:v>153539,4286</c:v>
                </c:pt>
                <c:pt idx="7">
                  <c:v>More</c:v>
                </c:pt>
              </c:strCache>
            </c:strRef>
          </c:cat>
          <c:val>
            <c:numRef>
              <c:f>'Task3 Automated Gross sales'!$B$2:$B$9</c:f>
              <c:numCache>
                <c:formatCode>General</c:formatCode>
                <c:ptCount val="8"/>
                <c:pt idx="0">
                  <c:v>1</c:v>
                </c:pt>
                <c:pt idx="1">
                  <c:v>38</c:v>
                </c:pt>
                <c:pt idx="2">
                  <c:v>11</c:v>
                </c:pt>
                <c:pt idx="3">
                  <c:v>4</c:v>
                </c:pt>
                <c:pt idx="4">
                  <c:v>2</c:v>
                </c:pt>
                <c:pt idx="5">
                  <c:v>3</c:v>
                </c:pt>
                <c:pt idx="6">
                  <c:v>0</c:v>
                </c:pt>
                <c:pt idx="7">
                  <c:v>1</c:v>
                </c:pt>
              </c:numCache>
            </c:numRef>
          </c:val>
          <c:extLst>
            <c:ext xmlns:c16="http://schemas.microsoft.com/office/drawing/2014/chart" uri="{C3380CC4-5D6E-409C-BE32-E72D297353CC}">
              <c16:uniqueId val="{00000000-B2AC-491F-B265-CF6E70F111D6}"/>
            </c:ext>
          </c:extLst>
        </c:ser>
        <c:dLbls>
          <c:showLegendKey val="0"/>
          <c:showVal val="0"/>
          <c:showCatName val="0"/>
          <c:showSerName val="0"/>
          <c:showPercent val="0"/>
          <c:showBubbleSize val="0"/>
        </c:dLbls>
        <c:gapWidth val="150"/>
        <c:axId val="679730864"/>
        <c:axId val="679733264"/>
      </c:barChart>
      <c:catAx>
        <c:axId val="679730864"/>
        <c:scaling>
          <c:orientation val="minMax"/>
        </c:scaling>
        <c:delete val="0"/>
        <c:axPos val="b"/>
        <c:title>
          <c:tx>
            <c:rich>
              <a:bodyPr/>
              <a:lstStyle/>
              <a:p>
                <a:pPr>
                  <a:defRPr/>
                </a:pPr>
                <a:r>
                  <a:rPr lang="en-GB"/>
                  <a:t>Bin</a:t>
                </a:r>
              </a:p>
            </c:rich>
          </c:tx>
          <c:overlay val="0"/>
        </c:title>
        <c:numFmt formatCode="General" sourceLinked="1"/>
        <c:majorTickMark val="out"/>
        <c:minorTickMark val="none"/>
        <c:tickLblPos val="nextTo"/>
        <c:crossAx val="679733264"/>
        <c:crosses val="autoZero"/>
        <c:auto val="1"/>
        <c:lblAlgn val="ctr"/>
        <c:lblOffset val="100"/>
        <c:noMultiLvlLbl val="0"/>
      </c:catAx>
      <c:valAx>
        <c:axId val="679733264"/>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679730864"/>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Automated Histogram Gross Sales</a:t>
            </a:r>
          </a:p>
        </c:rich>
      </c:tx>
      <c:overlay val="0"/>
    </c:title>
    <c:autoTitleDeleted val="0"/>
    <c:plotArea>
      <c:layout/>
      <c:barChart>
        <c:barDir val="col"/>
        <c:grouping val="clustered"/>
        <c:varyColors val="0"/>
        <c:ser>
          <c:idx val="0"/>
          <c:order val="0"/>
          <c:tx>
            <c:v>Frequency</c:v>
          </c:tx>
          <c:invertIfNegative val="0"/>
          <c:cat>
            <c:strRef>
              <c:f>'Task3 Automated Gross profit'!$A$2:$A$9</c:f>
              <c:strCache>
                <c:ptCount val="8"/>
                <c:pt idx="0">
                  <c:v>40,6</c:v>
                </c:pt>
                <c:pt idx="1">
                  <c:v>3660,42</c:v>
                </c:pt>
                <c:pt idx="2">
                  <c:v>7280,24</c:v>
                </c:pt>
                <c:pt idx="3">
                  <c:v>10900,06</c:v>
                </c:pt>
                <c:pt idx="4">
                  <c:v>14519,88</c:v>
                </c:pt>
                <c:pt idx="5">
                  <c:v>18139,7</c:v>
                </c:pt>
                <c:pt idx="6">
                  <c:v>21759,52</c:v>
                </c:pt>
                <c:pt idx="7">
                  <c:v>More</c:v>
                </c:pt>
              </c:strCache>
            </c:strRef>
          </c:cat>
          <c:val>
            <c:numRef>
              <c:f>'Task3 Automated Gross profit'!$B$2:$B$9</c:f>
              <c:numCache>
                <c:formatCode>General</c:formatCode>
                <c:ptCount val="8"/>
                <c:pt idx="0">
                  <c:v>1</c:v>
                </c:pt>
                <c:pt idx="1">
                  <c:v>39</c:v>
                </c:pt>
                <c:pt idx="2">
                  <c:v>8</c:v>
                </c:pt>
                <c:pt idx="3">
                  <c:v>3</c:v>
                </c:pt>
                <c:pt idx="4">
                  <c:v>5</c:v>
                </c:pt>
                <c:pt idx="5">
                  <c:v>2</c:v>
                </c:pt>
                <c:pt idx="6">
                  <c:v>0</c:v>
                </c:pt>
                <c:pt idx="7">
                  <c:v>2</c:v>
                </c:pt>
              </c:numCache>
            </c:numRef>
          </c:val>
          <c:extLst>
            <c:ext xmlns:c16="http://schemas.microsoft.com/office/drawing/2014/chart" uri="{C3380CC4-5D6E-409C-BE32-E72D297353CC}">
              <c16:uniqueId val="{00000000-3A28-47D7-901E-EA88ED566015}"/>
            </c:ext>
          </c:extLst>
        </c:ser>
        <c:dLbls>
          <c:showLegendKey val="0"/>
          <c:showVal val="0"/>
          <c:showCatName val="0"/>
          <c:showSerName val="0"/>
          <c:showPercent val="0"/>
          <c:showBubbleSize val="0"/>
        </c:dLbls>
        <c:gapWidth val="150"/>
        <c:axId val="912698623"/>
        <c:axId val="749100623"/>
      </c:barChart>
      <c:catAx>
        <c:axId val="912698623"/>
        <c:scaling>
          <c:orientation val="minMax"/>
        </c:scaling>
        <c:delete val="0"/>
        <c:axPos val="b"/>
        <c:title>
          <c:tx>
            <c:rich>
              <a:bodyPr/>
              <a:lstStyle/>
              <a:p>
                <a:pPr>
                  <a:defRPr/>
                </a:pPr>
                <a:r>
                  <a:rPr lang="en-GB"/>
                  <a:t>Bin</a:t>
                </a:r>
              </a:p>
            </c:rich>
          </c:tx>
          <c:overlay val="0"/>
        </c:title>
        <c:numFmt formatCode="General" sourceLinked="1"/>
        <c:majorTickMark val="out"/>
        <c:minorTickMark val="none"/>
        <c:tickLblPos val="nextTo"/>
        <c:crossAx val="749100623"/>
        <c:crosses val="autoZero"/>
        <c:auto val="1"/>
        <c:lblAlgn val="ctr"/>
        <c:lblOffset val="100"/>
        <c:noMultiLvlLbl val="0"/>
      </c:catAx>
      <c:valAx>
        <c:axId val="749100623"/>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912698623"/>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 Gross Sales</a:t>
            </a:r>
          </a:p>
        </c:rich>
      </c:tx>
      <c:overlay val="0"/>
    </c:title>
    <c:autoTitleDeleted val="0"/>
    <c:plotArea>
      <c:layout/>
      <c:barChart>
        <c:barDir val="col"/>
        <c:grouping val="clustered"/>
        <c:varyColors val="0"/>
        <c:ser>
          <c:idx val="0"/>
          <c:order val="0"/>
          <c:tx>
            <c:v>Frequency</c:v>
          </c:tx>
          <c:invertIfNegative val="0"/>
          <c:cat>
            <c:strRef>
              <c:f>'Task3 Gross sales'!$A$2:$A$12</c:f>
              <c:strCache>
                <c:ptCount val="11"/>
                <c:pt idx="0">
                  <c:v>500</c:v>
                </c:pt>
                <c:pt idx="1">
                  <c:v>1000</c:v>
                </c:pt>
                <c:pt idx="2">
                  <c:v>5000</c:v>
                </c:pt>
                <c:pt idx="3">
                  <c:v>10000</c:v>
                </c:pt>
                <c:pt idx="4">
                  <c:v>20000</c:v>
                </c:pt>
                <c:pt idx="5">
                  <c:v>30000</c:v>
                </c:pt>
                <c:pt idx="6">
                  <c:v>40000</c:v>
                </c:pt>
                <c:pt idx="7">
                  <c:v>50000</c:v>
                </c:pt>
                <c:pt idx="8">
                  <c:v>100000</c:v>
                </c:pt>
                <c:pt idx="9">
                  <c:v>200000</c:v>
                </c:pt>
                <c:pt idx="10">
                  <c:v>More</c:v>
                </c:pt>
              </c:strCache>
            </c:strRef>
          </c:cat>
          <c:val>
            <c:numRef>
              <c:f>'Task3 Gross sales'!$B$2:$B$12</c:f>
              <c:numCache>
                <c:formatCode>General</c:formatCode>
                <c:ptCount val="11"/>
                <c:pt idx="0">
                  <c:v>6</c:v>
                </c:pt>
                <c:pt idx="1">
                  <c:v>2</c:v>
                </c:pt>
                <c:pt idx="2">
                  <c:v>18</c:v>
                </c:pt>
                <c:pt idx="3">
                  <c:v>6</c:v>
                </c:pt>
                <c:pt idx="4">
                  <c:v>6</c:v>
                </c:pt>
                <c:pt idx="5">
                  <c:v>5</c:v>
                </c:pt>
                <c:pt idx="6">
                  <c:v>6</c:v>
                </c:pt>
                <c:pt idx="7">
                  <c:v>1</c:v>
                </c:pt>
                <c:pt idx="8">
                  <c:v>6</c:v>
                </c:pt>
                <c:pt idx="9">
                  <c:v>4</c:v>
                </c:pt>
                <c:pt idx="10">
                  <c:v>0</c:v>
                </c:pt>
              </c:numCache>
            </c:numRef>
          </c:val>
          <c:extLst>
            <c:ext xmlns:c16="http://schemas.microsoft.com/office/drawing/2014/chart" uri="{C3380CC4-5D6E-409C-BE32-E72D297353CC}">
              <c16:uniqueId val="{00000000-7181-45F2-8971-2BC5DB127D8C}"/>
            </c:ext>
          </c:extLst>
        </c:ser>
        <c:dLbls>
          <c:showLegendKey val="0"/>
          <c:showVal val="0"/>
          <c:showCatName val="0"/>
          <c:showSerName val="0"/>
          <c:showPercent val="0"/>
          <c:showBubbleSize val="0"/>
        </c:dLbls>
        <c:gapWidth val="150"/>
        <c:axId val="832865647"/>
        <c:axId val="832866607"/>
      </c:barChart>
      <c:catAx>
        <c:axId val="832865647"/>
        <c:scaling>
          <c:orientation val="minMax"/>
        </c:scaling>
        <c:delete val="0"/>
        <c:axPos val="b"/>
        <c:title>
          <c:tx>
            <c:rich>
              <a:bodyPr/>
              <a:lstStyle/>
              <a:p>
                <a:pPr>
                  <a:defRPr/>
                </a:pPr>
                <a:r>
                  <a:rPr lang="en-GB"/>
                  <a:t>Bin</a:t>
                </a:r>
              </a:p>
            </c:rich>
          </c:tx>
          <c:overlay val="0"/>
        </c:title>
        <c:numFmt formatCode="General" sourceLinked="1"/>
        <c:majorTickMark val="out"/>
        <c:minorTickMark val="none"/>
        <c:tickLblPos val="nextTo"/>
        <c:crossAx val="832866607"/>
        <c:crosses val="autoZero"/>
        <c:auto val="1"/>
        <c:lblAlgn val="ctr"/>
        <c:lblOffset val="100"/>
        <c:noMultiLvlLbl val="0"/>
      </c:catAx>
      <c:valAx>
        <c:axId val="832866607"/>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832865647"/>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 Gross Profit</a:t>
            </a:r>
          </a:p>
        </c:rich>
      </c:tx>
      <c:overlay val="0"/>
    </c:title>
    <c:autoTitleDeleted val="0"/>
    <c:plotArea>
      <c:layout/>
      <c:barChart>
        <c:barDir val="col"/>
        <c:grouping val="clustered"/>
        <c:varyColors val="0"/>
        <c:ser>
          <c:idx val="0"/>
          <c:order val="0"/>
          <c:tx>
            <c:v>Frequency</c:v>
          </c:tx>
          <c:invertIfNegative val="0"/>
          <c:cat>
            <c:strRef>
              <c:f>'Task3 Gross profit'!$A$2:$A$8</c:f>
              <c:strCache>
                <c:ptCount val="7"/>
                <c:pt idx="0">
                  <c:v>500</c:v>
                </c:pt>
                <c:pt idx="1">
                  <c:v>1000</c:v>
                </c:pt>
                <c:pt idx="2">
                  <c:v>5000</c:v>
                </c:pt>
                <c:pt idx="3">
                  <c:v>10000</c:v>
                </c:pt>
                <c:pt idx="4">
                  <c:v>20000</c:v>
                </c:pt>
                <c:pt idx="5">
                  <c:v>30000</c:v>
                </c:pt>
                <c:pt idx="6">
                  <c:v>More</c:v>
                </c:pt>
              </c:strCache>
            </c:strRef>
          </c:cat>
          <c:val>
            <c:numRef>
              <c:f>'Task3 Gross profit'!$B$2:$B$8</c:f>
              <c:numCache>
                <c:formatCode>General</c:formatCode>
                <c:ptCount val="7"/>
                <c:pt idx="0">
                  <c:v>18</c:v>
                </c:pt>
                <c:pt idx="1">
                  <c:v>8</c:v>
                </c:pt>
                <c:pt idx="2">
                  <c:v>15</c:v>
                </c:pt>
                <c:pt idx="3">
                  <c:v>10</c:v>
                </c:pt>
                <c:pt idx="4">
                  <c:v>7</c:v>
                </c:pt>
                <c:pt idx="5">
                  <c:v>2</c:v>
                </c:pt>
                <c:pt idx="6">
                  <c:v>0</c:v>
                </c:pt>
              </c:numCache>
            </c:numRef>
          </c:val>
          <c:extLst>
            <c:ext xmlns:c16="http://schemas.microsoft.com/office/drawing/2014/chart" uri="{C3380CC4-5D6E-409C-BE32-E72D297353CC}">
              <c16:uniqueId val="{00000000-5D9C-4F68-A757-DB67FFC1895B}"/>
            </c:ext>
          </c:extLst>
        </c:ser>
        <c:dLbls>
          <c:showLegendKey val="0"/>
          <c:showVal val="0"/>
          <c:showCatName val="0"/>
          <c:showSerName val="0"/>
          <c:showPercent val="0"/>
          <c:showBubbleSize val="0"/>
        </c:dLbls>
        <c:gapWidth val="150"/>
        <c:axId val="669391184"/>
        <c:axId val="989722607"/>
      </c:barChart>
      <c:catAx>
        <c:axId val="669391184"/>
        <c:scaling>
          <c:orientation val="minMax"/>
        </c:scaling>
        <c:delete val="0"/>
        <c:axPos val="b"/>
        <c:title>
          <c:tx>
            <c:rich>
              <a:bodyPr/>
              <a:lstStyle/>
              <a:p>
                <a:pPr>
                  <a:defRPr/>
                </a:pPr>
                <a:r>
                  <a:rPr lang="en-GB"/>
                  <a:t>Bin</a:t>
                </a:r>
              </a:p>
            </c:rich>
          </c:tx>
          <c:overlay val="0"/>
        </c:title>
        <c:numFmt formatCode="General" sourceLinked="1"/>
        <c:majorTickMark val="out"/>
        <c:minorTickMark val="none"/>
        <c:tickLblPos val="nextTo"/>
        <c:crossAx val="989722607"/>
        <c:crosses val="autoZero"/>
        <c:auto val="1"/>
        <c:lblAlgn val="ctr"/>
        <c:lblOffset val="100"/>
        <c:noMultiLvlLbl val="0"/>
      </c:catAx>
      <c:valAx>
        <c:axId val="989722607"/>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669391184"/>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[Exercise2-INFT2003-JensChristian-Aanestad.xlsx]Task4 PivotTable!PivotTable3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'Task4 PivotTable'!$B$3</c:f>
              <c:strCache>
                <c:ptCount val="1"/>
                <c:pt idx="0">
                  <c:v>Count of transactions</c:v>
                </c:pt>
              </c:strCache>
            </c:strRef>
          </c:tx>
          <c:spPr>
            <a:solidFill>
              <a:schemeClr val="accent1"/>
            </a:solidFill>
            <a:ln>
              <a:noFill/>
            </a:ln>
            <a:effectLst/>
          </c:spPr>
          <c:invertIfNegative val="0"/>
          <c:cat>
            <c:multiLvlStrRef>
              <c:f>'Task4 PivotTable'!$A$4:$A$16</c:f>
              <c:multiLvlStrCache>
                <c:ptCount val="8"/>
                <c:lvl>
                  <c:pt idx="0">
                    <c:v>Book</c:v>
                  </c:pt>
                  <c:pt idx="1">
                    <c:v>DVD</c:v>
                  </c:pt>
                  <c:pt idx="2">
                    <c:v>Book</c:v>
                  </c:pt>
                  <c:pt idx="3">
                    <c:v>DVD</c:v>
                  </c:pt>
                  <c:pt idx="4">
                    <c:v>Book</c:v>
                  </c:pt>
                  <c:pt idx="5">
                    <c:v>DVD</c:v>
                  </c:pt>
                  <c:pt idx="6">
                    <c:v>Book</c:v>
                  </c:pt>
                  <c:pt idx="7">
                    <c:v>DVD</c:v>
                  </c:pt>
                </c:lvl>
                <c:lvl>
                  <c:pt idx="0">
                    <c:v>East</c:v>
                  </c:pt>
                  <c:pt idx="2">
                    <c:v>North</c:v>
                  </c:pt>
                  <c:pt idx="4">
                    <c:v>South</c:v>
                  </c:pt>
                  <c:pt idx="6">
                    <c:v>West</c:v>
                  </c:pt>
                </c:lvl>
              </c:multiLvlStrCache>
            </c:multiLvlStrRef>
          </c:cat>
          <c:val>
            <c:numRef>
              <c:f>'Task4 PivotTable'!$B$4:$B$16</c:f>
              <c:numCache>
                <c:formatCode>General</c:formatCode>
                <c:ptCount val="8"/>
                <c:pt idx="0">
                  <c:v>56</c:v>
                </c:pt>
                <c:pt idx="1">
                  <c:v>42</c:v>
                </c:pt>
                <c:pt idx="2">
                  <c:v>43</c:v>
                </c:pt>
                <c:pt idx="3">
                  <c:v>42</c:v>
                </c:pt>
                <c:pt idx="4">
                  <c:v>62</c:v>
                </c:pt>
                <c:pt idx="5">
                  <c:v>37</c:v>
                </c:pt>
                <c:pt idx="6">
                  <c:v>100</c:v>
                </c:pt>
                <c:pt idx="7">
                  <c:v>90</c:v>
                </c:pt>
              </c:numCache>
            </c:numRef>
          </c:val>
          <c:extLst>
            <c:ext xmlns:c16="http://schemas.microsoft.com/office/drawing/2014/chart" uri="{C3380CC4-5D6E-409C-BE32-E72D297353CC}">
              <c16:uniqueId val="{00000000-8DE9-42AF-BEA5-90D535318D24}"/>
            </c:ext>
          </c:extLst>
        </c:ser>
        <c:ser>
          <c:idx val="1"/>
          <c:order val="1"/>
          <c:tx>
            <c:strRef>
              <c:f>'Task4 PivotTable'!$C$3</c:f>
              <c:strCache>
                <c:ptCount val="1"/>
                <c:pt idx="0">
                  <c:v>Sum of Amount</c:v>
                </c:pt>
              </c:strCache>
            </c:strRef>
          </c:tx>
          <c:spPr>
            <a:solidFill>
              <a:schemeClr val="accent2"/>
            </a:solidFill>
            <a:ln>
              <a:noFill/>
            </a:ln>
            <a:effectLst/>
          </c:spPr>
          <c:invertIfNegative val="0"/>
          <c:cat>
            <c:multiLvlStrRef>
              <c:f>'Task4 PivotTable'!$A$4:$A$16</c:f>
              <c:multiLvlStrCache>
                <c:ptCount val="8"/>
                <c:lvl>
                  <c:pt idx="0">
                    <c:v>Book</c:v>
                  </c:pt>
                  <c:pt idx="1">
                    <c:v>DVD</c:v>
                  </c:pt>
                  <c:pt idx="2">
                    <c:v>Book</c:v>
                  </c:pt>
                  <c:pt idx="3">
                    <c:v>DVD</c:v>
                  </c:pt>
                  <c:pt idx="4">
                    <c:v>Book</c:v>
                  </c:pt>
                  <c:pt idx="5">
                    <c:v>DVD</c:v>
                  </c:pt>
                  <c:pt idx="6">
                    <c:v>Book</c:v>
                  </c:pt>
                  <c:pt idx="7">
                    <c:v>DVD</c:v>
                  </c:pt>
                </c:lvl>
                <c:lvl>
                  <c:pt idx="0">
                    <c:v>East</c:v>
                  </c:pt>
                  <c:pt idx="2">
                    <c:v>North</c:v>
                  </c:pt>
                  <c:pt idx="4">
                    <c:v>South</c:v>
                  </c:pt>
                  <c:pt idx="6">
                    <c:v>West</c:v>
                  </c:pt>
                </c:lvl>
              </c:multiLvlStrCache>
            </c:multiLvlStrRef>
          </c:cat>
          <c:val>
            <c:numRef>
              <c:f>'Task4 PivotTable'!$C$4:$C$16</c:f>
              <c:numCache>
                <c:formatCode>General</c:formatCode>
                <c:ptCount val="8"/>
                <c:pt idx="0">
                  <c:v>3364.34</c:v>
                </c:pt>
                <c:pt idx="1">
                  <c:v>806.1</c:v>
                </c:pt>
                <c:pt idx="2">
                  <c:v>2009.2700000000002</c:v>
                </c:pt>
                <c:pt idx="3">
                  <c:v>839.97</c:v>
                </c:pt>
                <c:pt idx="4">
                  <c:v>3683.2599999999989</c:v>
                </c:pt>
                <c:pt idx="5">
                  <c:v>738.85000000000014</c:v>
                </c:pt>
                <c:pt idx="6">
                  <c:v>5615.4000000000033</c:v>
                </c:pt>
                <c:pt idx="7">
                  <c:v>1797.2299999999998</c:v>
                </c:pt>
              </c:numCache>
            </c:numRef>
          </c:val>
          <c:extLst>
            <c:ext xmlns:c16="http://schemas.microsoft.com/office/drawing/2014/chart" uri="{C3380CC4-5D6E-409C-BE32-E72D297353CC}">
              <c16:uniqueId val="{00000002-8DE9-42AF-BEA5-90D535318D24}"/>
            </c:ext>
          </c:extLst>
        </c:ser>
        <c:dLbls>
          <c:showLegendKey val="0"/>
          <c:showVal val="0"/>
          <c:showCatName val="0"/>
          <c:showSerName val="0"/>
          <c:showPercent val="0"/>
          <c:showBubbleSize val="0"/>
        </c:dLbls>
        <c:gapWidth val="219"/>
        <c:overlap val="-27"/>
        <c:axId val="1166697583"/>
        <c:axId val="1166698543"/>
      </c:barChart>
      <c:catAx>
        <c:axId val="116669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66698543"/>
        <c:crosses val="autoZero"/>
        <c:auto val="1"/>
        <c:lblAlgn val="ctr"/>
        <c:lblOffset val="100"/>
        <c:noMultiLvlLbl val="0"/>
      </c:catAx>
      <c:valAx>
        <c:axId val="116669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6669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[Exercise2-INFT2003-JensChristian-Aanestad.xlsx]Task4 PivotTable!PivotTable3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'Task4 PivotTable'!$B$3</c:f>
              <c:strCache>
                <c:ptCount val="1"/>
                <c:pt idx="0">
                  <c:v>Count of transactions</c:v>
                </c:pt>
              </c:strCache>
            </c:strRef>
          </c:tx>
          <c:spPr>
            <a:solidFill>
              <a:schemeClr val="accent1"/>
            </a:solidFill>
            <a:ln>
              <a:noFill/>
            </a:ln>
            <a:effectLst/>
          </c:spPr>
          <c:invertIfNegative val="0"/>
          <c:cat>
            <c:multiLvlStrRef>
              <c:f>'Task4 PivotTable'!$A$4:$A$16</c:f>
              <c:multiLvlStrCache>
                <c:ptCount val="8"/>
                <c:lvl>
                  <c:pt idx="0">
                    <c:v>Book</c:v>
                  </c:pt>
                  <c:pt idx="1">
                    <c:v>DVD</c:v>
                  </c:pt>
                  <c:pt idx="2">
                    <c:v>Book</c:v>
                  </c:pt>
                  <c:pt idx="3">
                    <c:v>DVD</c:v>
                  </c:pt>
                  <c:pt idx="4">
                    <c:v>Book</c:v>
                  </c:pt>
                  <c:pt idx="5">
                    <c:v>DVD</c:v>
                  </c:pt>
                  <c:pt idx="6">
                    <c:v>Book</c:v>
                  </c:pt>
                  <c:pt idx="7">
                    <c:v>DVD</c:v>
                  </c:pt>
                </c:lvl>
                <c:lvl>
                  <c:pt idx="0">
                    <c:v>East</c:v>
                  </c:pt>
                  <c:pt idx="2">
                    <c:v>North</c:v>
                  </c:pt>
                  <c:pt idx="4">
                    <c:v>South</c:v>
                  </c:pt>
                  <c:pt idx="6">
                    <c:v>West</c:v>
                  </c:pt>
                </c:lvl>
              </c:multiLvlStrCache>
            </c:multiLvlStrRef>
          </c:cat>
          <c:val>
            <c:numRef>
              <c:f>'Task4 PivotTable'!$B$4:$B$16</c:f>
              <c:numCache>
                <c:formatCode>General</c:formatCode>
                <c:ptCount val="8"/>
                <c:pt idx="0">
                  <c:v>56</c:v>
                </c:pt>
                <c:pt idx="1">
                  <c:v>42</c:v>
                </c:pt>
                <c:pt idx="2">
                  <c:v>43</c:v>
                </c:pt>
                <c:pt idx="3">
                  <c:v>42</c:v>
                </c:pt>
                <c:pt idx="4">
                  <c:v>62</c:v>
                </c:pt>
                <c:pt idx="5">
                  <c:v>37</c:v>
                </c:pt>
                <c:pt idx="6">
                  <c:v>100</c:v>
                </c:pt>
                <c:pt idx="7">
                  <c:v>90</c:v>
                </c:pt>
              </c:numCache>
            </c:numRef>
          </c:val>
          <c:extLst>
            <c:ext xmlns:c16="http://schemas.microsoft.com/office/drawing/2014/chart" uri="{C3380CC4-5D6E-409C-BE32-E72D297353CC}">
              <c16:uniqueId val="{00000000-9D69-4BBF-AED0-FAB10B32663C}"/>
            </c:ext>
          </c:extLst>
        </c:ser>
        <c:ser>
          <c:idx val="1"/>
          <c:order val="1"/>
          <c:tx>
            <c:strRef>
              <c:f>'Task4 PivotTable'!$C$3</c:f>
              <c:strCache>
                <c:ptCount val="1"/>
                <c:pt idx="0">
                  <c:v>Sum of Amount</c:v>
                </c:pt>
              </c:strCache>
            </c:strRef>
          </c:tx>
          <c:spPr>
            <a:solidFill>
              <a:schemeClr val="accent2"/>
            </a:solidFill>
            <a:ln>
              <a:noFill/>
            </a:ln>
            <a:effectLst/>
          </c:spPr>
          <c:invertIfNegative val="0"/>
          <c:cat>
            <c:multiLvlStrRef>
              <c:f>'Task4 PivotTable'!$A$4:$A$16</c:f>
              <c:multiLvlStrCache>
                <c:ptCount val="8"/>
                <c:lvl>
                  <c:pt idx="0">
                    <c:v>Book</c:v>
                  </c:pt>
                  <c:pt idx="1">
                    <c:v>DVD</c:v>
                  </c:pt>
                  <c:pt idx="2">
                    <c:v>Book</c:v>
                  </c:pt>
                  <c:pt idx="3">
                    <c:v>DVD</c:v>
                  </c:pt>
                  <c:pt idx="4">
                    <c:v>Book</c:v>
                  </c:pt>
                  <c:pt idx="5">
                    <c:v>DVD</c:v>
                  </c:pt>
                  <c:pt idx="6">
                    <c:v>Book</c:v>
                  </c:pt>
                  <c:pt idx="7">
                    <c:v>DVD</c:v>
                  </c:pt>
                </c:lvl>
                <c:lvl>
                  <c:pt idx="0">
                    <c:v>East</c:v>
                  </c:pt>
                  <c:pt idx="2">
                    <c:v>North</c:v>
                  </c:pt>
                  <c:pt idx="4">
                    <c:v>South</c:v>
                  </c:pt>
                  <c:pt idx="6">
                    <c:v>West</c:v>
                  </c:pt>
                </c:lvl>
              </c:multiLvlStrCache>
            </c:multiLvlStrRef>
          </c:cat>
          <c:val>
            <c:numRef>
              <c:f>'Task4 PivotTable'!$C$4:$C$16</c:f>
              <c:numCache>
                <c:formatCode>General</c:formatCode>
                <c:ptCount val="8"/>
                <c:pt idx="0">
                  <c:v>3364.34</c:v>
                </c:pt>
                <c:pt idx="1">
                  <c:v>806.1</c:v>
                </c:pt>
                <c:pt idx="2">
                  <c:v>2009.2700000000002</c:v>
                </c:pt>
                <c:pt idx="3">
                  <c:v>839.97</c:v>
                </c:pt>
                <c:pt idx="4">
                  <c:v>3683.2599999999989</c:v>
                </c:pt>
                <c:pt idx="5">
                  <c:v>738.85000000000014</c:v>
                </c:pt>
                <c:pt idx="6">
                  <c:v>5615.4000000000033</c:v>
                </c:pt>
                <c:pt idx="7">
                  <c:v>1797.2299999999998</c:v>
                </c:pt>
              </c:numCache>
            </c:numRef>
          </c:val>
          <c:extLst>
            <c:ext xmlns:c16="http://schemas.microsoft.com/office/drawing/2014/chart" uri="{C3380CC4-5D6E-409C-BE32-E72D297353CC}">
              <c16:uniqueId val="{00000001-9D69-4BBF-AED0-FAB10B32663C}"/>
            </c:ext>
          </c:extLst>
        </c:ser>
        <c:dLbls>
          <c:showLegendKey val="0"/>
          <c:showVal val="0"/>
          <c:showCatName val="0"/>
          <c:showSerName val="0"/>
          <c:showPercent val="0"/>
          <c:showBubbleSize val="0"/>
        </c:dLbls>
        <c:gapWidth val="219"/>
        <c:overlap val="-27"/>
        <c:axId val="1166697583"/>
        <c:axId val="1166698543"/>
      </c:barChart>
      <c:catAx>
        <c:axId val="116669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66698543"/>
        <c:crosses val="autoZero"/>
        <c:auto val="1"/>
        <c:lblAlgn val="ctr"/>
        <c:lblOffset val="100"/>
        <c:noMultiLvlLbl val="0"/>
      </c:catAx>
      <c:valAx>
        <c:axId val="116669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6669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[Exercise2-INFT2003-JensChristian-Aanestad.xlsx]Task7a!PivotTable5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Task7a!$B$1</c:f>
              <c:strCache>
                <c:ptCount val="1"/>
                <c:pt idx="0">
                  <c:v>Total</c:v>
                </c:pt>
              </c:strCache>
            </c:strRef>
          </c:tx>
          <c:spPr>
            <a:solidFill>
              <a:schemeClr val="accent1"/>
            </a:solidFill>
            <a:ln>
              <a:noFill/>
            </a:ln>
            <a:effectLst/>
          </c:spPr>
          <c:invertIfNegative val="0"/>
          <c:cat>
            <c:strRef>
              <c:f>Task7a!$A$2:$A$7</c:f>
              <c:strCache>
                <c:ptCount val="5"/>
                <c:pt idx="0">
                  <c:v>AT&amp;T</c:v>
                </c:pt>
                <c:pt idx="1">
                  <c:v>Other</c:v>
                </c:pt>
                <c:pt idx="2">
                  <c:v>Sprint</c:v>
                </c:pt>
                <c:pt idx="3">
                  <c:v>T-mobile</c:v>
                </c:pt>
                <c:pt idx="4">
                  <c:v>Verizon</c:v>
                </c:pt>
              </c:strCache>
            </c:strRef>
          </c:cat>
          <c:val>
            <c:numRef>
              <c:f>Task7a!$B$2:$B$7</c:f>
              <c:numCache>
                <c:formatCode>General</c:formatCode>
                <c:ptCount val="5"/>
                <c:pt idx="0">
                  <c:v>3.4615384615384617</c:v>
                </c:pt>
                <c:pt idx="1">
                  <c:v>2.6666666666666665</c:v>
                </c:pt>
                <c:pt idx="2">
                  <c:v>2.8</c:v>
                </c:pt>
                <c:pt idx="3">
                  <c:v>3</c:v>
                </c:pt>
                <c:pt idx="4">
                  <c:v>3.8</c:v>
                </c:pt>
              </c:numCache>
            </c:numRef>
          </c:val>
          <c:extLst>
            <c:ext xmlns:c16="http://schemas.microsoft.com/office/drawing/2014/chart" uri="{C3380CC4-5D6E-409C-BE32-E72D297353CC}">
              <c16:uniqueId val="{00000000-EEA9-4017-A4DA-F72210381A1A}"/>
            </c:ext>
          </c:extLst>
        </c:ser>
        <c:dLbls>
          <c:showLegendKey val="0"/>
          <c:showVal val="0"/>
          <c:showCatName val="0"/>
          <c:showSerName val="0"/>
          <c:showPercent val="0"/>
          <c:showBubbleSize val="0"/>
        </c:dLbls>
        <c:gapWidth val="219"/>
        <c:overlap val="-27"/>
        <c:axId val="1638562799"/>
        <c:axId val="1638574319"/>
      </c:barChart>
      <c:catAx>
        <c:axId val="163856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38574319"/>
        <c:crosses val="autoZero"/>
        <c:auto val="1"/>
        <c:lblAlgn val="ctr"/>
        <c:lblOffset val="100"/>
        <c:noMultiLvlLbl val="0"/>
      </c:catAx>
      <c:valAx>
        <c:axId val="163857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3856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[Exercise2-INFT2003-JensChristian-Aanestad.xlsx]Task7b!PivotTable6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Task7b!$B$1</c:f>
              <c:strCache>
                <c:ptCount val="1"/>
                <c:pt idx="0">
                  <c:v>Total</c:v>
                </c:pt>
              </c:strCache>
            </c:strRef>
          </c:tx>
          <c:spPr>
            <a:solidFill>
              <a:schemeClr val="accent1"/>
            </a:solidFill>
            <a:ln>
              <a:noFill/>
            </a:ln>
            <a:effectLst/>
          </c:spPr>
          <c:invertIfNegative val="0"/>
          <c:cat>
            <c:multiLvlStrRef>
              <c:f>Task7b!$A$2:$A$21</c:f>
              <c:multiLvlStrCache>
                <c:ptCount val="14"/>
                <c:lvl>
                  <c:pt idx="0">
                    <c:v>Average</c:v>
                  </c:pt>
                  <c:pt idx="1">
                    <c:v>High</c:v>
                  </c:pt>
                  <c:pt idx="2">
                    <c:v>Low</c:v>
                  </c:pt>
                  <c:pt idx="3">
                    <c:v>Very high</c:v>
                  </c:pt>
                  <c:pt idx="4">
                    <c:v>Average</c:v>
                  </c:pt>
                  <c:pt idx="5">
                    <c:v>Low</c:v>
                  </c:pt>
                  <c:pt idx="6">
                    <c:v>Very high</c:v>
                  </c:pt>
                  <c:pt idx="7">
                    <c:v>Average</c:v>
                  </c:pt>
                  <c:pt idx="8">
                    <c:v>Very high</c:v>
                  </c:pt>
                  <c:pt idx="9">
                    <c:v>Average</c:v>
                  </c:pt>
                  <c:pt idx="10">
                    <c:v>Low</c:v>
                  </c:pt>
                  <c:pt idx="11">
                    <c:v>Average</c:v>
                  </c:pt>
                  <c:pt idx="12">
                    <c:v>Low</c:v>
                  </c:pt>
                  <c:pt idx="13">
                    <c:v>Very high</c:v>
                  </c:pt>
                </c:lvl>
                <c:lvl>
                  <c:pt idx="0">
                    <c:v>AT&amp;T</c:v>
                  </c:pt>
                  <c:pt idx="4">
                    <c:v>Other</c:v>
                  </c:pt>
                  <c:pt idx="7">
                    <c:v>Sprint</c:v>
                  </c:pt>
                  <c:pt idx="9">
                    <c:v>T-mobile</c:v>
                  </c:pt>
                  <c:pt idx="11">
                    <c:v>Verizon</c:v>
                  </c:pt>
                </c:lvl>
              </c:multiLvlStrCache>
            </c:multiLvlStrRef>
          </c:cat>
          <c:val>
            <c:numRef>
              <c:f>Task7b!$B$2:$B$21</c:f>
              <c:numCache>
                <c:formatCode>General</c:formatCode>
                <c:ptCount val="14"/>
                <c:pt idx="0">
                  <c:v>3.5</c:v>
                </c:pt>
                <c:pt idx="1">
                  <c:v>4</c:v>
                </c:pt>
                <c:pt idx="2">
                  <c:v>2.5</c:v>
                </c:pt>
                <c:pt idx="3">
                  <c:v>3</c:v>
                </c:pt>
                <c:pt idx="4">
                  <c:v>2.8333333333333335</c:v>
                </c:pt>
                <c:pt idx="5">
                  <c:v>4</c:v>
                </c:pt>
                <c:pt idx="6">
                  <c:v>3</c:v>
                </c:pt>
                <c:pt idx="7">
                  <c:v>4.666666666666667</c:v>
                </c:pt>
                <c:pt idx="8">
                  <c:v>5</c:v>
                </c:pt>
                <c:pt idx="9">
                  <c:v>4</c:v>
                </c:pt>
                <c:pt idx="10">
                  <c:v>4</c:v>
                </c:pt>
                <c:pt idx="11">
                  <c:v>2.6666666666666665</c:v>
                </c:pt>
                <c:pt idx="12">
                  <c:v>3</c:v>
                </c:pt>
                <c:pt idx="13">
                  <c:v>4</c:v>
                </c:pt>
              </c:numCache>
            </c:numRef>
          </c:val>
          <c:extLst>
            <c:ext xmlns:c16="http://schemas.microsoft.com/office/drawing/2014/chart" uri="{C3380CC4-5D6E-409C-BE32-E72D297353CC}">
              <c16:uniqueId val="{00000000-BBE2-4177-9FA8-3D2519D57BC1}"/>
            </c:ext>
          </c:extLst>
        </c:ser>
        <c:dLbls>
          <c:showLegendKey val="0"/>
          <c:showVal val="0"/>
          <c:showCatName val="0"/>
          <c:showSerName val="0"/>
          <c:showPercent val="0"/>
          <c:showBubbleSize val="0"/>
        </c:dLbls>
        <c:gapWidth val="219"/>
        <c:overlap val="-27"/>
        <c:axId val="1364890192"/>
        <c:axId val="1364895952"/>
      </c:barChart>
      <c:catAx>
        <c:axId val="13648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364895952"/>
        <c:crosses val="autoZero"/>
        <c:auto val="1"/>
        <c:lblAlgn val="ctr"/>
        <c:lblOffset val="100"/>
        <c:noMultiLvlLbl val="0"/>
      </c:catAx>
      <c:valAx>
        <c:axId val="136489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36489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[Exercise2-INFT2003-JensChristian-Aanestad.xlsx]Task7c!PivotTable8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Task7c!$B$1</c:f>
              <c:strCache>
                <c:ptCount val="1"/>
                <c:pt idx="0">
                  <c:v>Total</c:v>
                </c:pt>
              </c:strCache>
            </c:strRef>
          </c:tx>
          <c:spPr>
            <a:solidFill>
              <a:schemeClr val="accent1"/>
            </a:solidFill>
            <a:ln>
              <a:noFill/>
            </a:ln>
            <a:effectLst/>
          </c:spPr>
          <c:invertIfNegative val="0"/>
          <c:cat>
            <c:multiLvlStrRef>
              <c:f>Task7c!$A$2:$A$17</c:f>
              <c:multiLvlStrCache>
                <c:ptCount val="10"/>
                <c:lvl>
                  <c:pt idx="0">
                    <c:v>F</c:v>
                  </c:pt>
                  <c:pt idx="1">
                    <c:v>M</c:v>
                  </c:pt>
                  <c:pt idx="2">
                    <c:v>F</c:v>
                  </c:pt>
                  <c:pt idx="3">
                    <c:v>M</c:v>
                  </c:pt>
                  <c:pt idx="4">
                    <c:v>F</c:v>
                  </c:pt>
                  <c:pt idx="5">
                    <c:v>M</c:v>
                  </c:pt>
                  <c:pt idx="6">
                    <c:v>F</c:v>
                  </c:pt>
                  <c:pt idx="7">
                    <c:v>M</c:v>
                  </c:pt>
                  <c:pt idx="8">
                    <c:v>F</c:v>
                  </c:pt>
                  <c:pt idx="9">
                    <c:v>M</c:v>
                  </c:pt>
                </c:lvl>
                <c:lvl>
                  <c:pt idx="0">
                    <c:v>AT&amp;T</c:v>
                  </c:pt>
                  <c:pt idx="2">
                    <c:v>Other</c:v>
                  </c:pt>
                  <c:pt idx="4">
                    <c:v>Sprint</c:v>
                  </c:pt>
                  <c:pt idx="6">
                    <c:v>T-mobile</c:v>
                  </c:pt>
                  <c:pt idx="8">
                    <c:v>Verizon</c:v>
                  </c:pt>
                </c:lvl>
              </c:multiLvlStrCache>
            </c:multiLvlStrRef>
          </c:cat>
          <c:val>
            <c:numRef>
              <c:f>Task7c!$B$2:$B$17</c:f>
              <c:numCache>
                <c:formatCode>General</c:formatCode>
                <c:ptCount val="10"/>
                <c:pt idx="0">
                  <c:v>0.6964285714285714</c:v>
                </c:pt>
                <c:pt idx="1">
                  <c:v>1.1241830065359479</c:v>
                </c:pt>
                <c:pt idx="2">
                  <c:v>0</c:v>
                </c:pt>
                <c:pt idx="3">
                  <c:v>0.95238095238095133</c:v>
                </c:pt>
                <c:pt idx="4">
                  <c:v>0</c:v>
                </c:pt>
                <c:pt idx="5">
                  <c:v>0.33333333333333215</c:v>
                </c:pt>
                <c:pt idx="6">
                  <c:v>#N/A</c:v>
                </c:pt>
                <c:pt idx="7">
                  <c:v>#N/A</c:v>
                </c:pt>
                <c:pt idx="8">
                  <c:v>0.79999999999999982</c:v>
                </c:pt>
                <c:pt idx="9">
                  <c:v>1.3000000000000007</c:v>
                </c:pt>
              </c:numCache>
            </c:numRef>
          </c:val>
          <c:extLst>
            <c:ext xmlns:c16="http://schemas.microsoft.com/office/drawing/2014/chart" uri="{C3380CC4-5D6E-409C-BE32-E72D297353CC}">
              <c16:uniqueId val="{00000000-FC54-4343-A108-3DD7822F32AB}"/>
            </c:ext>
          </c:extLst>
        </c:ser>
        <c:dLbls>
          <c:showLegendKey val="0"/>
          <c:showVal val="0"/>
          <c:showCatName val="0"/>
          <c:showSerName val="0"/>
          <c:showPercent val="0"/>
          <c:showBubbleSize val="0"/>
        </c:dLbls>
        <c:gapWidth val="219"/>
        <c:overlap val="-27"/>
        <c:axId val="1664090447"/>
        <c:axId val="1664090927"/>
      </c:barChart>
      <c:catAx>
        <c:axId val="166409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64090927"/>
        <c:crosses val="autoZero"/>
        <c:auto val="1"/>
        <c:lblAlgn val="ctr"/>
        <c:lblOffset val="100"/>
        <c:noMultiLvlLbl val="0"/>
      </c:catAx>
      <c:valAx>
        <c:axId val="166409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6409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[Exercise2-INFT2003-JensChristian-Aanestad.xlsx]Task7a!PivotTable5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Task7a!$B$1</c:f>
              <c:strCache>
                <c:ptCount val="1"/>
                <c:pt idx="0">
                  <c:v>Total</c:v>
                </c:pt>
              </c:strCache>
            </c:strRef>
          </c:tx>
          <c:spPr>
            <a:solidFill>
              <a:schemeClr val="accent1"/>
            </a:solidFill>
            <a:ln>
              <a:noFill/>
            </a:ln>
            <a:effectLst/>
          </c:spPr>
          <c:invertIfNegative val="0"/>
          <c:cat>
            <c:strRef>
              <c:f>Task7a!$A$2:$A$7</c:f>
              <c:strCache>
                <c:ptCount val="5"/>
                <c:pt idx="0">
                  <c:v>AT&amp;T</c:v>
                </c:pt>
                <c:pt idx="1">
                  <c:v>Other</c:v>
                </c:pt>
                <c:pt idx="2">
                  <c:v>Sprint</c:v>
                </c:pt>
                <c:pt idx="3">
                  <c:v>T-mobile</c:v>
                </c:pt>
                <c:pt idx="4">
                  <c:v>Verizon</c:v>
                </c:pt>
              </c:strCache>
            </c:strRef>
          </c:cat>
          <c:val>
            <c:numRef>
              <c:f>Task7a!$B$2:$B$7</c:f>
              <c:numCache>
                <c:formatCode>General</c:formatCode>
                <c:ptCount val="5"/>
                <c:pt idx="0">
                  <c:v>3.4615384615384617</c:v>
                </c:pt>
                <c:pt idx="1">
                  <c:v>2.6666666666666665</c:v>
                </c:pt>
                <c:pt idx="2">
                  <c:v>2.8</c:v>
                </c:pt>
                <c:pt idx="3">
                  <c:v>3</c:v>
                </c:pt>
                <c:pt idx="4">
                  <c:v>3.8</c:v>
                </c:pt>
              </c:numCache>
            </c:numRef>
          </c:val>
          <c:extLst>
            <c:ext xmlns:c16="http://schemas.microsoft.com/office/drawing/2014/chart" uri="{C3380CC4-5D6E-409C-BE32-E72D297353CC}">
              <c16:uniqueId val="{00000000-DF8C-40A8-B820-ECFA1D73435F}"/>
            </c:ext>
          </c:extLst>
        </c:ser>
        <c:dLbls>
          <c:showLegendKey val="0"/>
          <c:showVal val="0"/>
          <c:showCatName val="0"/>
          <c:showSerName val="0"/>
          <c:showPercent val="0"/>
          <c:showBubbleSize val="0"/>
        </c:dLbls>
        <c:gapWidth val="219"/>
        <c:overlap val="-27"/>
        <c:axId val="1638562799"/>
        <c:axId val="1638574319"/>
      </c:barChart>
      <c:catAx>
        <c:axId val="163856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38574319"/>
        <c:crosses val="autoZero"/>
        <c:auto val="1"/>
        <c:lblAlgn val="ctr"/>
        <c:lblOffset val="100"/>
        <c:noMultiLvlLbl val="0"/>
      </c:catAx>
      <c:valAx>
        <c:axId val="163857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3856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[Exercise2-INFT2003-JensChristian-Aanestad.xlsx]Task7b!PivotTable6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Task7b!$B$1</c:f>
              <c:strCache>
                <c:ptCount val="1"/>
                <c:pt idx="0">
                  <c:v>Total</c:v>
                </c:pt>
              </c:strCache>
            </c:strRef>
          </c:tx>
          <c:spPr>
            <a:solidFill>
              <a:schemeClr val="accent1"/>
            </a:solidFill>
            <a:ln>
              <a:noFill/>
            </a:ln>
            <a:effectLst/>
          </c:spPr>
          <c:invertIfNegative val="0"/>
          <c:cat>
            <c:multiLvlStrRef>
              <c:f>Task7b!$A$2:$A$21</c:f>
              <c:multiLvlStrCache>
                <c:ptCount val="14"/>
                <c:lvl>
                  <c:pt idx="0">
                    <c:v>Average</c:v>
                  </c:pt>
                  <c:pt idx="1">
                    <c:v>High</c:v>
                  </c:pt>
                  <c:pt idx="2">
                    <c:v>Low</c:v>
                  </c:pt>
                  <c:pt idx="3">
                    <c:v>Very high</c:v>
                  </c:pt>
                  <c:pt idx="4">
                    <c:v>Average</c:v>
                  </c:pt>
                  <c:pt idx="5">
                    <c:v>Low</c:v>
                  </c:pt>
                  <c:pt idx="6">
                    <c:v>Very high</c:v>
                  </c:pt>
                  <c:pt idx="7">
                    <c:v>Average</c:v>
                  </c:pt>
                  <c:pt idx="8">
                    <c:v>Very high</c:v>
                  </c:pt>
                  <c:pt idx="9">
                    <c:v>Average</c:v>
                  </c:pt>
                  <c:pt idx="10">
                    <c:v>Low</c:v>
                  </c:pt>
                  <c:pt idx="11">
                    <c:v>Average</c:v>
                  </c:pt>
                  <c:pt idx="12">
                    <c:v>Low</c:v>
                  </c:pt>
                  <c:pt idx="13">
                    <c:v>Very high</c:v>
                  </c:pt>
                </c:lvl>
                <c:lvl>
                  <c:pt idx="0">
                    <c:v>AT&amp;T</c:v>
                  </c:pt>
                  <c:pt idx="4">
                    <c:v>Other</c:v>
                  </c:pt>
                  <c:pt idx="7">
                    <c:v>Sprint</c:v>
                  </c:pt>
                  <c:pt idx="9">
                    <c:v>T-mobile</c:v>
                  </c:pt>
                  <c:pt idx="11">
                    <c:v>Verizon</c:v>
                  </c:pt>
                </c:lvl>
              </c:multiLvlStrCache>
            </c:multiLvlStrRef>
          </c:cat>
          <c:val>
            <c:numRef>
              <c:f>Task7b!$B$2:$B$21</c:f>
              <c:numCache>
                <c:formatCode>General</c:formatCode>
                <c:ptCount val="14"/>
                <c:pt idx="0">
                  <c:v>3.5</c:v>
                </c:pt>
                <c:pt idx="1">
                  <c:v>4</c:v>
                </c:pt>
                <c:pt idx="2">
                  <c:v>2.5</c:v>
                </c:pt>
                <c:pt idx="3">
                  <c:v>3</c:v>
                </c:pt>
                <c:pt idx="4">
                  <c:v>2.8333333333333335</c:v>
                </c:pt>
                <c:pt idx="5">
                  <c:v>4</c:v>
                </c:pt>
                <c:pt idx="6">
                  <c:v>3</c:v>
                </c:pt>
                <c:pt idx="7">
                  <c:v>4.666666666666667</c:v>
                </c:pt>
                <c:pt idx="8">
                  <c:v>5</c:v>
                </c:pt>
                <c:pt idx="9">
                  <c:v>4</c:v>
                </c:pt>
                <c:pt idx="10">
                  <c:v>4</c:v>
                </c:pt>
                <c:pt idx="11">
                  <c:v>2.6666666666666665</c:v>
                </c:pt>
                <c:pt idx="12">
                  <c:v>3</c:v>
                </c:pt>
                <c:pt idx="13">
                  <c:v>4</c:v>
                </c:pt>
              </c:numCache>
            </c:numRef>
          </c:val>
          <c:extLst>
            <c:ext xmlns:c16="http://schemas.microsoft.com/office/drawing/2014/chart" uri="{C3380CC4-5D6E-409C-BE32-E72D297353CC}">
              <c16:uniqueId val="{00000000-A9C5-4F34-A4A4-C7D2A5DD0C0D}"/>
            </c:ext>
          </c:extLst>
        </c:ser>
        <c:dLbls>
          <c:showLegendKey val="0"/>
          <c:showVal val="0"/>
          <c:showCatName val="0"/>
          <c:showSerName val="0"/>
          <c:showPercent val="0"/>
          <c:showBubbleSize val="0"/>
        </c:dLbls>
        <c:gapWidth val="219"/>
        <c:overlap val="-27"/>
        <c:axId val="1364890192"/>
        <c:axId val="1364895952"/>
      </c:barChart>
      <c:catAx>
        <c:axId val="13648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364895952"/>
        <c:crosses val="autoZero"/>
        <c:auto val="1"/>
        <c:lblAlgn val="ctr"/>
        <c:lblOffset val="100"/>
        <c:noMultiLvlLbl val="0"/>
      </c:catAx>
      <c:valAx>
        <c:axId val="136489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36489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[Exercise2-INFT2003-JensChristian-Aanestad.xlsx]Task7c!PivotTable8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Task7c!$B$1</c:f>
              <c:strCache>
                <c:ptCount val="1"/>
                <c:pt idx="0">
                  <c:v>Total</c:v>
                </c:pt>
              </c:strCache>
            </c:strRef>
          </c:tx>
          <c:spPr>
            <a:solidFill>
              <a:schemeClr val="accent1"/>
            </a:solidFill>
            <a:ln>
              <a:noFill/>
            </a:ln>
            <a:effectLst/>
          </c:spPr>
          <c:invertIfNegative val="0"/>
          <c:cat>
            <c:multiLvlStrRef>
              <c:f>Task7c!$A$2:$A$17</c:f>
              <c:multiLvlStrCache>
                <c:ptCount val="10"/>
                <c:lvl>
                  <c:pt idx="0">
                    <c:v>F</c:v>
                  </c:pt>
                  <c:pt idx="1">
                    <c:v>M</c:v>
                  </c:pt>
                  <c:pt idx="2">
                    <c:v>F</c:v>
                  </c:pt>
                  <c:pt idx="3">
                    <c:v>M</c:v>
                  </c:pt>
                  <c:pt idx="4">
                    <c:v>F</c:v>
                  </c:pt>
                  <c:pt idx="5">
                    <c:v>M</c:v>
                  </c:pt>
                  <c:pt idx="6">
                    <c:v>F</c:v>
                  </c:pt>
                  <c:pt idx="7">
                    <c:v>M</c:v>
                  </c:pt>
                  <c:pt idx="8">
                    <c:v>F</c:v>
                  </c:pt>
                  <c:pt idx="9">
                    <c:v>M</c:v>
                  </c:pt>
                </c:lvl>
                <c:lvl>
                  <c:pt idx="0">
                    <c:v>AT&amp;T</c:v>
                  </c:pt>
                  <c:pt idx="2">
                    <c:v>Other</c:v>
                  </c:pt>
                  <c:pt idx="4">
                    <c:v>Sprint</c:v>
                  </c:pt>
                  <c:pt idx="6">
                    <c:v>T-mobile</c:v>
                  </c:pt>
                  <c:pt idx="8">
                    <c:v>Verizon</c:v>
                  </c:pt>
                </c:lvl>
              </c:multiLvlStrCache>
            </c:multiLvlStrRef>
          </c:cat>
          <c:val>
            <c:numRef>
              <c:f>Task7c!$B$2:$B$17</c:f>
              <c:numCache>
                <c:formatCode>General</c:formatCode>
                <c:ptCount val="10"/>
                <c:pt idx="0">
                  <c:v>0.6964285714285714</c:v>
                </c:pt>
                <c:pt idx="1">
                  <c:v>1.1241830065359479</c:v>
                </c:pt>
                <c:pt idx="2">
                  <c:v>0</c:v>
                </c:pt>
                <c:pt idx="3">
                  <c:v>0.95238095238095133</c:v>
                </c:pt>
                <c:pt idx="4">
                  <c:v>0</c:v>
                </c:pt>
                <c:pt idx="5">
                  <c:v>0.33333333333333215</c:v>
                </c:pt>
                <c:pt idx="6">
                  <c:v>#N/A</c:v>
                </c:pt>
                <c:pt idx="7">
                  <c:v>#N/A</c:v>
                </c:pt>
                <c:pt idx="8">
                  <c:v>0.79999999999999982</c:v>
                </c:pt>
                <c:pt idx="9">
                  <c:v>1.3000000000000007</c:v>
                </c:pt>
              </c:numCache>
            </c:numRef>
          </c:val>
          <c:extLst>
            <c:ext xmlns:c16="http://schemas.microsoft.com/office/drawing/2014/chart" uri="{C3380CC4-5D6E-409C-BE32-E72D297353CC}">
              <c16:uniqueId val="{00000000-B839-47A8-ABF0-044AE6F0412F}"/>
            </c:ext>
          </c:extLst>
        </c:ser>
        <c:dLbls>
          <c:showLegendKey val="0"/>
          <c:showVal val="0"/>
          <c:showCatName val="0"/>
          <c:showSerName val="0"/>
          <c:showPercent val="0"/>
          <c:showBubbleSize val="0"/>
        </c:dLbls>
        <c:gapWidth val="219"/>
        <c:overlap val="-27"/>
        <c:axId val="1664090447"/>
        <c:axId val="1664090927"/>
      </c:barChart>
      <c:catAx>
        <c:axId val="166409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64090927"/>
        <c:crosses val="autoZero"/>
        <c:auto val="1"/>
        <c:lblAlgn val="ctr"/>
        <c:lblOffset val="100"/>
        <c:noMultiLvlLbl val="0"/>
      </c:catAx>
      <c:valAx>
        <c:axId val="166409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6409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Survey</a:t>
            </a:r>
            <a:r>
              <a:rPr lang="en-US" baseline="0"/>
              <a:t> Average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barChart>
        <c:barDir val="col"/>
        <c:grouping val="clustered"/>
        <c:varyColors val="0"/>
        <c:ser>
          <c:idx val="0"/>
          <c:order val="0"/>
          <c:tx>
            <c:strRef>
              <c:f>Task10!$I$63</c:f>
              <c:strCache>
                <c:ptCount val="1"/>
                <c:pt idx="0">
                  <c:v>Mean</c:v>
                </c:pt>
              </c:strCache>
            </c:strRef>
          </c:tx>
          <c:spPr>
            <a:solidFill>
              <a:schemeClr val="accent1"/>
            </a:solidFill>
            <a:ln>
              <a:noFill/>
            </a:ln>
            <a:effectLst/>
          </c:spPr>
          <c:invertIfNegative val="0"/>
          <c:cat>
            <c:strRef>
              <c:f>Task10!$H$64:$H$70</c:f>
              <c:strCache>
                <c:ptCount val="7"/>
                <c:pt idx="0">
                  <c:v>Q1</c:v>
                </c:pt>
                <c:pt idx="1">
                  <c:v>Q2</c:v>
                </c:pt>
                <c:pt idx="2">
                  <c:v>Q3</c:v>
                </c:pt>
                <c:pt idx="3">
                  <c:v>Q4</c:v>
                </c:pt>
                <c:pt idx="4">
                  <c:v>Q5</c:v>
                </c:pt>
                <c:pt idx="5">
                  <c:v>Q6</c:v>
                </c:pt>
                <c:pt idx="6">
                  <c:v>Overall</c:v>
                </c:pt>
              </c:strCache>
            </c:strRef>
          </c:cat>
          <c:val>
            <c:numRef>
              <c:f>Task10!$I$64:$I$70</c:f>
              <c:numCache>
                <c:formatCode>General</c:formatCode>
                <c:ptCount val="7"/>
                <c:pt idx="0">
                  <c:v>2.9772727272727271</c:v>
                </c:pt>
                <c:pt idx="1">
                  <c:v>3</c:v>
                </c:pt>
                <c:pt idx="2">
                  <c:v>3.25</c:v>
                </c:pt>
                <c:pt idx="3">
                  <c:v>3</c:v>
                </c:pt>
                <c:pt idx="4">
                  <c:v>3.0681818181818183</c:v>
                </c:pt>
                <c:pt idx="5">
                  <c:v>2.9772727272727271</c:v>
                </c:pt>
                <c:pt idx="6">
                  <c:v>2.9318181818181817</c:v>
                </c:pt>
              </c:numCache>
            </c:numRef>
          </c:val>
          <c:extLst>
            <c:ext xmlns:c16="http://schemas.microsoft.com/office/drawing/2014/chart" uri="{C3380CC4-5D6E-409C-BE32-E72D297353CC}">
              <c16:uniqueId val="{00000000-A582-46A8-B543-406679C1CFF7}"/>
            </c:ext>
          </c:extLst>
        </c:ser>
        <c:dLbls>
          <c:showLegendKey val="0"/>
          <c:showVal val="0"/>
          <c:showCatName val="0"/>
          <c:showSerName val="0"/>
          <c:showPercent val="0"/>
          <c:showBubbleSize val="0"/>
        </c:dLbls>
        <c:gapWidth val="219"/>
        <c:overlap val="-27"/>
        <c:axId val="1956299823"/>
        <c:axId val="1956311823"/>
      </c:barChart>
      <c:catAx>
        <c:axId val="195629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56311823"/>
        <c:crosses val="autoZero"/>
        <c:auto val="1"/>
        <c:lblAlgn val="ctr"/>
        <c:lblOffset val="100"/>
        <c:noMultiLvlLbl val="0"/>
      </c:catAx>
      <c:valAx>
        <c:axId val="195631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5629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Service Index &amp; Engineer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Task10!$H$7:$H$50</c:f>
              <c:numCache>
                <c:formatCode>0.000</c:formatCode>
                <c:ptCount val="44"/>
                <c:pt idx="0">
                  <c:v>1.6666666666666667</c:v>
                </c:pt>
                <c:pt idx="1">
                  <c:v>2</c:v>
                </c:pt>
                <c:pt idx="2">
                  <c:v>2.3333333333333335</c:v>
                </c:pt>
                <c:pt idx="3">
                  <c:v>3.3333333333333335</c:v>
                </c:pt>
                <c:pt idx="4">
                  <c:v>3.3333333333333335</c:v>
                </c:pt>
                <c:pt idx="5">
                  <c:v>2</c:v>
                </c:pt>
                <c:pt idx="6">
                  <c:v>3.3333333333333335</c:v>
                </c:pt>
                <c:pt idx="7">
                  <c:v>4</c:v>
                </c:pt>
                <c:pt idx="8">
                  <c:v>4</c:v>
                </c:pt>
                <c:pt idx="9">
                  <c:v>3</c:v>
                </c:pt>
                <c:pt idx="10">
                  <c:v>3</c:v>
                </c:pt>
                <c:pt idx="11">
                  <c:v>2.6666666666666665</c:v>
                </c:pt>
                <c:pt idx="12">
                  <c:v>4</c:v>
                </c:pt>
                <c:pt idx="13">
                  <c:v>4</c:v>
                </c:pt>
                <c:pt idx="14">
                  <c:v>4</c:v>
                </c:pt>
                <c:pt idx="15">
                  <c:v>3.6666666666666665</c:v>
                </c:pt>
                <c:pt idx="16">
                  <c:v>2</c:v>
                </c:pt>
                <c:pt idx="17">
                  <c:v>2.3333333333333335</c:v>
                </c:pt>
                <c:pt idx="18">
                  <c:v>2.3333333333333335</c:v>
                </c:pt>
                <c:pt idx="19">
                  <c:v>3.6666666666666665</c:v>
                </c:pt>
                <c:pt idx="20">
                  <c:v>3.6666666666666665</c:v>
                </c:pt>
                <c:pt idx="21">
                  <c:v>4</c:v>
                </c:pt>
                <c:pt idx="22">
                  <c:v>1</c:v>
                </c:pt>
                <c:pt idx="23">
                  <c:v>3</c:v>
                </c:pt>
                <c:pt idx="24">
                  <c:v>3</c:v>
                </c:pt>
                <c:pt idx="25">
                  <c:v>2</c:v>
                </c:pt>
                <c:pt idx="26">
                  <c:v>2</c:v>
                </c:pt>
                <c:pt idx="27">
                  <c:v>4</c:v>
                </c:pt>
                <c:pt idx="28">
                  <c:v>4</c:v>
                </c:pt>
                <c:pt idx="29">
                  <c:v>3</c:v>
                </c:pt>
                <c:pt idx="30">
                  <c:v>2</c:v>
                </c:pt>
                <c:pt idx="31">
                  <c:v>4</c:v>
                </c:pt>
                <c:pt idx="32">
                  <c:v>4</c:v>
                </c:pt>
                <c:pt idx="33">
                  <c:v>4</c:v>
                </c:pt>
                <c:pt idx="34">
                  <c:v>4</c:v>
                </c:pt>
                <c:pt idx="35">
                  <c:v>2.3333333333333335</c:v>
                </c:pt>
                <c:pt idx="36">
                  <c:v>4</c:v>
                </c:pt>
                <c:pt idx="37">
                  <c:v>2</c:v>
                </c:pt>
                <c:pt idx="38">
                  <c:v>3.3333333333333335</c:v>
                </c:pt>
                <c:pt idx="39">
                  <c:v>4</c:v>
                </c:pt>
                <c:pt idx="40">
                  <c:v>2.3333333333333335</c:v>
                </c:pt>
                <c:pt idx="41">
                  <c:v>3.3333333333333335</c:v>
                </c:pt>
                <c:pt idx="42">
                  <c:v>3</c:v>
                </c:pt>
                <c:pt idx="43">
                  <c:v>2.6666666666666665</c:v>
                </c:pt>
              </c:numCache>
            </c:numRef>
          </c:xVal>
          <c:yVal>
            <c:numRef>
              <c:f>Task10!$I$7:$I$50</c:f>
              <c:numCache>
                <c:formatCode>0.000</c:formatCode>
                <c:ptCount val="44"/>
                <c:pt idx="0">
                  <c:v>2</c:v>
                </c:pt>
                <c:pt idx="1">
                  <c:v>2</c:v>
                </c:pt>
                <c:pt idx="2">
                  <c:v>2</c:v>
                </c:pt>
                <c:pt idx="3">
                  <c:v>2.3333333333333335</c:v>
                </c:pt>
                <c:pt idx="4">
                  <c:v>2.6666666666666665</c:v>
                </c:pt>
                <c:pt idx="5">
                  <c:v>2</c:v>
                </c:pt>
                <c:pt idx="6">
                  <c:v>3</c:v>
                </c:pt>
                <c:pt idx="7">
                  <c:v>4</c:v>
                </c:pt>
                <c:pt idx="8">
                  <c:v>4</c:v>
                </c:pt>
                <c:pt idx="9">
                  <c:v>3</c:v>
                </c:pt>
                <c:pt idx="10">
                  <c:v>3.3333333333333335</c:v>
                </c:pt>
                <c:pt idx="11">
                  <c:v>3.6666666666666665</c:v>
                </c:pt>
                <c:pt idx="12">
                  <c:v>4</c:v>
                </c:pt>
                <c:pt idx="13">
                  <c:v>4</c:v>
                </c:pt>
                <c:pt idx="14">
                  <c:v>4</c:v>
                </c:pt>
                <c:pt idx="15">
                  <c:v>4</c:v>
                </c:pt>
                <c:pt idx="16">
                  <c:v>2</c:v>
                </c:pt>
                <c:pt idx="17">
                  <c:v>2.6666666666666665</c:v>
                </c:pt>
                <c:pt idx="18">
                  <c:v>3</c:v>
                </c:pt>
                <c:pt idx="19">
                  <c:v>3</c:v>
                </c:pt>
                <c:pt idx="20">
                  <c:v>3.3333333333333335</c:v>
                </c:pt>
                <c:pt idx="21">
                  <c:v>4</c:v>
                </c:pt>
                <c:pt idx="22">
                  <c:v>1</c:v>
                </c:pt>
                <c:pt idx="23">
                  <c:v>3</c:v>
                </c:pt>
                <c:pt idx="24">
                  <c:v>3</c:v>
                </c:pt>
                <c:pt idx="25">
                  <c:v>1</c:v>
                </c:pt>
                <c:pt idx="26">
                  <c:v>2.3333333333333335</c:v>
                </c:pt>
                <c:pt idx="27">
                  <c:v>4</c:v>
                </c:pt>
                <c:pt idx="28">
                  <c:v>4</c:v>
                </c:pt>
                <c:pt idx="29">
                  <c:v>3</c:v>
                </c:pt>
                <c:pt idx="30">
                  <c:v>1.6666666666666667</c:v>
                </c:pt>
                <c:pt idx="31">
                  <c:v>3.3333333333333335</c:v>
                </c:pt>
                <c:pt idx="32">
                  <c:v>4</c:v>
                </c:pt>
                <c:pt idx="33">
                  <c:v>4</c:v>
                </c:pt>
                <c:pt idx="34">
                  <c:v>4</c:v>
                </c:pt>
                <c:pt idx="35">
                  <c:v>3.3333333333333335</c:v>
                </c:pt>
                <c:pt idx="36">
                  <c:v>4</c:v>
                </c:pt>
                <c:pt idx="37">
                  <c:v>2</c:v>
                </c:pt>
                <c:pt idx="38">
                  <c:v>3.6666666666666665</c:v>
                </c:pt>
                <c:pt idx="39">
                  <c:v>4</c:v>
                </c:pt>
                <c:pt idx="40">
                  <c:v>1.6666666666666667</c:v>
                </c:pt>
                <c:pt idx="41">
                  <c:v>2.3333333333333335</c:v>
                </c:pt>
                <c:pt idx="42">
                  <c:v>3</c:v>
                </c:pt>
                <c:pt idx="43">
                  <c:v>2.3333333333333335</c:v>
                </c:pt>
              </c:numCache>
            </c:numRef>
          </c:yVal>
          <c:smooth val="0"/>
          <c:extLst>
            <c:ext xmlns:c16="http://schemas.microsoft.com/office/drawing/2014/chart" uri="{C3380CC4-5D6E-409C-BE32-E72D297353CC}">
              <c16:uniqueId val="{00000000-3BAD-4865-B2D2-B35F099B3ABE}"/>
            </c:ext>
          </c:extLst>
        </c:ser>
        <c:dLbls>
          <c:showLegendKey val="0"/>
          <c:showVal val="0"/>
          <c:showCatName val="0"/>
          <c:showSerName val="0"/>
          <c:showPercent val="0"/>
          <c:showBubbleSize val="0"/>
        </c:dLbls>
        <c:axId val="1956317103"/>
        <c:axId val="1956313263"/>
      </c:scatterChart>
      <c:valAx>
        <c:axId val="1956317103"/>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56313263"/>
        <c:crosses val="autoZero"/>
        <c:crossBetween val="midCat"/>
      </c:valAx>
      <c:valAx>
        <c:axId val="195631326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563171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scatterChart>
        <c:scatterStyle val="lineMarker"/>
        <c:varyColors val="0"/>
        <c:ser>
          <c:idx val="0"/>
          <c:order val="0"/>
          <c:tx>
            <c:v>Resolution Time &amp; Response Time</c:v>
          </c:tx>
          <c:spPr>
            <a:ln w="25400" cap="rnd">
              <a:noFill/>
              <a:round/>
            </a:ln>
            <a:effectLst/>
          </c:spPr>
          <c:marker>
            <c:symbol val="circle"/>
            <c:size val="5"/>
            <c:spPr>
              <a:solidFill>
                <a:schemeClr val="accent1"/>
              </a:solidFill>
              <a:ln w="9525">
                <a:solidFill>
                  <a:schemeClr val="accent1"/>
                </a:solidFill>
              </a:ln>
              <a:effectLst/>
            </c:spPr>
          </c:marker>
          <c:xVal>
            <c:numRef>
              <c:f>Task10!$J$7:$J$50</c:f>
              <c:numCache>
                <c:formatCode>General</c:formatCode>
                <c:ptCount val="44"/>
                <c:pt idx="0">
                  <c:v>0.36</c:v>
                </c:pt>
                <c:pt idx="1">
                  <c:v>7.99</c:v>
                </c:pt>
                <c:pt idx="2">
                  <c:v>0.04</c:v>
                </c:pt>
                <c:pt idx="3" formatCode="0.00">
                  <c:v>24.31</c:v>
                </c:pt>
                <c:pt idx="4">
                  <c:v>0.65</c:v>
                </c:pt>
                <c:pt idx="5">
                  <c:v>7.0000000000000007E-2</c:v>
                </c:pt>
                <c:pt idx="6" formatCode="0.00">
                  <c:v>1.17</c:v>
                </c:pt>
                <c:pt idx="7">
                  <c:v>8.6300000000000008</c:v>
                </c:pt>
                <c:pt idx="8" formatCode="0.00">
                  <c:v>1.1599999999999999</c:v>
                </c:pt>
                <c:pt idx="9">
                  <c:v>0.02</c:v>
                </c:pt>
                <c:pt idx="10">
                  <c:v>0.91</c:v>
                </c:pt>
                <c:pt idx="11">
                  <c:v>0.06</c:v>
                </c:pt>
                <c:pt idx="12">
                  <c:v>0.15</c:v>
                </c:pt>
                <c:pt idx="13">
                  <c:v>23.24</c:v>
                </c:pt>
                <c:pt idx="14">
                  <c:v>0.05</c:v>
                </c:pt>
                <c:pt idx="15">
                  <c:v>5.35</c:v>
                </c:pt>
                <c:pt idx="16">
                  <c:v>0.03</c:v>
                </c:pt>
                <c:pt idx="17">
                  <c:v>0.01</c:v>
                </c:pt>
                <c:pt idx="18">
                  <c:v>0.05</c:v>
                </c:pt>
                <c:pt idx="19">
                  <c:v>0.05</c:v>
                </c:pt>
                <c:pt idx="20">
                  <c:v>2.4300000000000002</c:v>
                </c:pt>
                <c:pt idx="21">
                  <c:v>0.03</c:v>
                </c:pt>
                <c:pt idx="22">
                  <c:v>48.92</c:v>
                </c:pt>
                <c:pt idx="23">
                  <c:v>0.03</c:v>
                </c:pt>
                <c:pt idx="24" formatCode="0.00">
                  <c:v>7.08</c:v>
                </c:pt>
                <c:pt idx="25">
                  <c:v>0.89</c:v>
                </c:pt>
                <c:pt idx="26">
                  <c:v>0.01</c:v>
                </c:pt>
                <c:pt idx="27">
                  <c:v>71.680000000000007</c:v>
                </c:pt>
                <c:pt idx="28">
                  <c:v>6.98</c:v>
                </c:pt>
                <c:pt idx="29">
                  <c:v>2.96</c:v>
                </c:pt>
                <c:pt idx="30">
                  <c:v>0.03</c:v>
                </c:pt>
                <c:pt idx="31">
                  <c:v>0.01</c:v>
                </c:pt>
                <c:pt idx="32">
                  <c:v>5.96</c:v>
                </c:pt>
                <c:pt idx="33">
                  <c:v>6.16</c:v>
                </c:pt>
                <c:pt idx="34">
                  <c:v>0.96</c:v>
                </c:pt>
                <c:pt idx="35">
                  <c:v>0.03</c:v>
                </c:pt>
                <c:pt idx="36">
                  <c:v>0.1</c:v>
                </c:pt>
                <c:pt idx="37">
                  <c:v>0.05</c:v>
                </c:pt>
                <c:pt idx="38">
                  <c:v>0.01</c:v>
                </c:pt>
                <c:pt idx="39">
                  <c:v>0.02</c:v>
                </c:pt>
                <c:pt idx="40">
                  <c:v>0.03</c:v>
                </c:pt>
                <c:pt idx="41" formatCode="0.00">
                  <c:v>1.06</c:v>
                </c:pt>
                <c:pt idx="42">
                  <c:v>0.21</c:v>
                </c:pt>
                <c:pt idx="43">
                  <c:v>0.24</c:v>
                </c:pt>
              </c:numCache>
            </c:numRef>
          </c:xVal>
          <c:yVal>
            <c:numRef>
              <c:f>Task10!$K$7:$K$50</c:f>
              <c:numCache>
                <c:formatCode>General</c:formatCode>
                <c:ptCount val="44"/>
                <c:pt idx="0">
                  <c:v>20</c:v>
                </c:pt>
                <c:pt idx="1">
                  <c:v>12</c:v>
                </c:pt>
                <c:pt idx="2">
                  <c:v>15</c:v>
                </c:pt>
                <c:pt idx="3">
                  <c:v>11</c:v>
                </c:pt>
                <c:pt idx="4">
                  <c:v>22</c:v>
                </c:pt>
                <c:pt idx="5">
                  <c:v>6</c:v>
                </c:pt>
                <c:pt idx="6">
                  <c:v>39</c:v>
                </c:pt>
                <c:pt idx="7">
                  <c:v>19</c:v>
                </c:pt>
                <c:pt idx="8">
                  <c:v>12</c:v>
                </c:pt>
                <c:pt idx="9">
                  <c:v>13</c:v>
                </c:pt>
                <c:pt idx="10">
                  <c:v>13</c:v>
                </c:pt>
                <c:pt idx="11">
                  <c:v>19</c:v>
                </c:pt>
                <c:pt idx="12">
                  <c:v>47</c:v>
                </c:pt>
                <c:pt idx="13">
                  <c:v>24</c:v>
                </c:pt>
                <c:pt idx="14">
                  <c:v>19</c:v>
                </c:pt>
                <c:pt idx="15">
                  <c:v>17</c:v>
                </c:pt>
                <c:pt idx="16">
                  <c:v>13</c:v>
                </c:pt>
                <c:pt idx="17">
                  <c:v>8</c:v>
                </c:pt>
                <c:pt idx="18">
                  <c:v>33</c:v>
                </c:pt>
                <c:pt idx="19">
                  <c:v>21</c:v>
                </c:pt>
                <c:pt idx="20">
                  <c:v>28</c:v>
                </c:pt>
                <c:pt idx="21">
                  <c:v>13</c:v>
                </c:pt>
                <c:pt idx="22">
                  <c:v>2</c:v>
                </c:pt>
                <c:pt idx="23">
                  <c:v>25</c:v>
                </c:pt>
                <c:pt idx="24">
                  <c:v>25</c:v>
                </c:pt>
                <c:pt idx="25">
                  <c:v>48</c:v>
                </c:pt>
                <c:pt idx="26">
                  <c:v>12</c:v>
                </c:pt>
                <c:pt idx="27">
                  <c:v>118</c:v>
                </c:pt>
                <c:pt idx="28">
                  <c:v>27</c:v>
                </c:pt>
                <c:pt idx="29">
                  <c:v>11</c:v>
                </c:pt>
                <c:pt idx="30">
                  <c:v>21</c:v>
                </c:pt>
                <c:pt idx="31">
                  <c:v>5</c:v>
                </c:pt>
                <c:pt idx="32">
                  <c:v>33</c:v>
                </c:pt>
                <c:pt idx="33">
                  <c:v>29</c:v>
                </c:pt>
                <c:pt idx="34">
                  <c:v>2</c:v>
                </c:pt>
                <c:pt idx="35">
                  <c:v>25</c:v>
                </c:pt>
                <c:pt idx="36">
                  <c:v>61</c:v>
                </c:pt>
                <c:pt idx="37">
                  <c:v>15</c:v>
                </c:pt>
                <c:pt idx="38">
                  <c:v>11</c:v>
                </c:pt>
                <c:pt idx="39">
                  <c:v>2</c:v>
                </c:pt>
                <c:pt idx="40">
                  <c:v>31</c:v>
                </c:pt>
                <c:pt idx="41">
                  <c:v>20</c:v>
                </c:pt>
                <c:pt idx="42">
                  <c:v>2</c:v>
                </c:pt>
                <c:pt idx="43">
                  <c:v>15</c:v>
                </c:pt>
              </c:numCache>
            </c:numRef>
          </c:yVal>
          <c:smooth val="0"/>
          <c:extLst>
            <c:ext xmlns:c16="http://schemas.microsoft.com/office/drawing/2014/chart" uri="{C3380CC4-5D6E-409C-BE32-E72D297353CC}">
              <c16:uniqueId val="{00000000-59D5-4171-9A8F-CA787A1396C6}"/>
            </c:ext>
          </c:extLst>
        </c:ser>
        <c:dLbls>
          <c:showLegendKey val="0"/>
          <c:showVal val="0"/>
          <c:showCatName val="0"/>
          <c:showSerName val="0"/>
          <c:showPercent val="0"/>
          <c:showBubbleSize val="0"/>
        </c:dLbls>
        <c:axId val="1956331983"/>
        <c:axId val="1956324783"/>
      </c:scatterChart>
      <c:valAx>
        <c:axId val="1956331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56324783"/>
        <c:crosses val="autoZero"/>
        <c:crossBetween val="midCat"/>
      </c:valAx>
      <c:valAx>
        <c:axId val="195632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563319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scatterChart>
        <c:scatterStyle val="lineMarker"/>
        <c:varyColors val="0"/>
        <c:ser>
          <c:idx val="0"/>
          <c:order val="0"/>
          <c:tx>
            <c:v>Service Index &amp; Response Time</c:v>
          </c:tx>
          <c:spPr>
            <a:ln w="25400" cap="rnd">
              <a:noFill/>
              <a:round/>
            </a:ln>
            <a:effectLst/>
          </c:spPr>
          <c:marker>
            <c:symbol val="circle"/>
            <c:size val="5"/>
            <c:spPr>
              <a:solidFill>
                <a:schemeClr val="accent1"/>
              </a:solidFill>
              <a:ln w="9525">
                <a:solidFill>
                  <a:schemeClr val="accent1"/>
                </a:solidFill>
              </a:ln>
              <a:effectLst/>
            </c:spPr>
          </c:marker>
          <c:xVal>
            <c:numRef>
              <c:f>Task10!$H$7:$H$50</c:f>
              <c:numCache>
                <c:formatCode>0.000</c:formatCode>
                <c:ptCount val="44"/>
                <c:pt idx="0">
                  <c:v>1.6666666666666667</c:v>
                </c:pt>
                <c:pt idx="1">
                  <c:v>2</c:v>
                </c:pt>
                <c:pt idx="2">
                  <c:v>2.3333333333333335</c:v>
                </c:pt>
                <c:pt idx="3">
                  <c:v>3.3333333333333335</c:v>
                </c:pt>
                <c:pt idx="4">
                  <c:v>3.3333333333333335</c:v>
                </c:pt>
                <c:pt idx="5">
                  <c:v>2</c:v>
                </c:pt>
                <c:pt idx="6">
                  <c:v>3.3333333333333335</c:v>
                </c:pt>
                <c:pt idx="7">
                  <c:v>4</c:v>
                </c:pt>
                <c:pt idx="8">
                  <c:v>4</c:v>
                </c:pt>
                <c:pt idx="9">
                  <c:v>3</c:v>
                </c:pt>
                <c:pt idx="10">
                  <c:v>3</c:v>
                </c:pt>
                <c:pt idx="11">
                  <c:v>2.6666666666666665</c:v>
                </c:pt>
                <c:pt idx="12">
                  <c:v>4</c:v>
                </c:pt>
                <c:pt idx="13">
                  <c:v>4</c:v>
                </c:pt>
                <c:pt idx="14">
                  <c:v>4</c:v>
                </c:pt>
                <c:pt idx="15">
                  <c:v>3.6666666666666665</c:v>
                </c:pt>
                <c:pt idx="16">
                  <c:v>2</c:v>
                </c:pt>
                <c:pt idx="17">
                  <c:v>2.3333333333333335</c:v>
                </c:pt>
                <c:pt idx="18">
                  <c:v>2.3333333333333335</c:v>
                </c:pt>
                <c:pt idx="19">
                  <c:v>3.6666666666666665</c:v>
                </c:pt>
                <c:pt idx="20">
                  <c:v>3.6666666666666665</c:v>
                </c:pt>
                <c:pt idx="21">
                  <c:v>4</c:v>
                </c:pt>
                <c:pt idx="22">
                  <c:v>1</c:v>
                </c:pt>
                <c:pt idx="23">
                  <c:v>3</c:v>
                </c:pt>
                <c:pt idx="24">
                  <c:v>3</c:v>
                </c:pt>
                <c:pt idx="25">
                  <c:v>2</c:v>
                </c:pt>
                <c:pt idx="26">
                  <c:v>2</c:v>
                </c:pt>
                <c:pt idx="27">
                  <c:v>4</c:v>
                </c:pt>
                <c:pt idx="28">
                  <c:v>4</c:v>
                </c:pt>
                <c:pt idx="29">
                  <c:v>3</c:v>
                </c:pt>
                <c:pt idx="30">
                  <c:v>2</c:v>
                </c:pt>
                <c:pt idx="31">
                  <c:v>4</c:v>
                </c:pt>
                <c:pt idx="32">
                  <c:v>4</c:v>
                </c:pt>
                <c:pt idx="33">
                  <c:v>4</c:v>
                </c:pt>
                <c:pt idx="34">
                  <c:v>4</c:v>
                </c:pt>
                <c:pt idx="35">
                  <c:v>2.3333333333333335</c:v>
                </c:pt>
                <c:pt idx="36">
                  <c:v>4</c:v>
                </c:pt>
                <c:pt idx="37">
                  <c:v>2</c:v>
                </c:pt>
                <c:pt idx="38">
                  <c:v>3.3333333333333335</c:v>
                </c:pt>
                <c:pt idx="39">
                  <c:v>4</c:v>
                </c:pt>
                <c:pt idx="40">
                  <c:v>2.3333333333333335</c:v>
                </c:pt>
                <c:pt idx="41">
                  <c:v>3.3333333333333335</c:v>
                </c:pt>
                <c:pt idx="42">
                  <c:v>3</c:v>
                </c:pt>
                <c:pt idx="43">
                  <c:v>2.6666666666666665</c:v>
                </c:pt>
              </c:numCache>
            </c:numRef>
          </c:xVal>
          <c:yVal>
            <c:numRef>
              <c:f>Task10!$K$7:$K$50</c:f>
              <c:numCache>
                <c:formatCode>General</c:formatCode>
                <c:ptCount val="44"/>
                <c:pt idx="0">
                  <c:v>20</c:v>
                </c:pt>
                <c:pt idx="1">
                  <c:v>12</c:v>
                </c:pt>
                <c:pt idx="2">
                  <c:v>15</c:v>
                </c:pt>
                <c:pt idx="3">
                  <c:v>11</c:v>
                </c:pt>
                <c:pt idx="4">
                  <c:v>22</c:v>
                </c:pt>
                <c:pt idx="5">
                  <c:v>6</c:v>
                </c:pt>
                <c:pt idx="6">
                  <c:v>39</c:v>
                </c:pt>
                <c:pt idx="7">
                  <c:v>19</c:v>
                </c:pt>
                <c:pt idx="8">
                  <c:v>12</c:v>
                </c:pt>
                <c:pt idx="9">
                  <c:v>13</c:v>
                </c:pt>
                <c:pt idx="10">
                  <c:v>13</c:v>
                </c:pt>
                <c:pt idx="11">
                  <c:v>19</c:v>
                </c:pt>
                <c:pt idx="12">
                  <c:v>47</c:v>
                </c:pt>
                <c:pt idx="13">
                  <c:v>24</c:v>
                </c:pt>
                <c:pt idx="14">
                  <c:v>19</c:v>
                </c:pt>
                <c:pt idx="15">
                  <c:v>17</c:v>
                </c:pt>
                <c:pt idx="16">
                  <c:v>13</c:v>
                </c:pt>
                <c:pt idx="17">
                  <c:v>8</c:v>
                </c:pt>
                <c:pt idx="18">
                  <c:v>33</c:v>
                </c:pt>
                <c:pt idx="19">
                  <c:v>21</c:v>
                </c:pt>
                <c:pt idx="20">
                  <c:v>28</c:v>
                </c:pt>
                <c:pt idx="21">
                  <c:v>13</c:v>
                </c:pt>
                <c:pt idx="22">
                  <c:v>2</c:v>
                </c:pt>
                <c:pt idx="23">
                  <c:v>25</c:v>
                </c:pt>
                <c:pt idx="24">
                  <c:v>25</c:v>
                </c:pt>
                <c:pt idx="25">
                  <c:v>48</c:v>
                </c:pt>
                <c:pt idx="26">
                  <c:v>12</c:v>
                </c:pt>
                <c:pt idx="27">
                  <c:v>118</c:v>
                </c:pt>
                <c:pt idx="28">
                  <c:v>27</c:v>
                </c:pt>
                <c:pt idx="29">
                  <c:v>11</c:v>
                </c:pt>
                <c:pt idx="30">
                  <c:v>21</c:v>
                </c:pt>
                <c:pt idx="31">
                  <c:v>5</c:v>
                </c:pt>
                <c:pt idx="32">
                  <c:v>33</c:v>
                </c:pt>
                <c:pt idx="33">
                  <c:v>29</c:v>
                </c:pt>
                <c:pt idx="34">
                  <c:v>2</c:v>
                </c:pt>
                <c:pt idx="35">
                  <c:v>25</c:v>
                </c:pt>
                <c:pt idx="36">
                  <c:v>61</c:v>
                </c:pt>
                <c:pt idx="37">
                  <c:v>15</c:v>
                </c:pt>
                <c:pt idx="38">
                  <c:v>11</c:v>
                </c:pt>
                <c:pt idx="39">
                  <c:v>2</c:v>
                </c:pt>
                <c:pt idx="40">
                  <c:v>31</c:v>
                </c:pt>
                <c:pt idx="41">
                  <c:v>20</c:v>
                </c:pt>
                <c:pt idx="42">
                  <c:v>2</c:v>
                </c:pt>
                <c:pt idx="43">
                  <c:v>15</c:v>
                </c:pt>
              </c:numCache>
            </c:numRef>
          </c:yVal>
          <c:smooth val="0"/>
          <c:extLst>
            <c:ext xmlns:c16="http://schemas.microsoft.com/office/drawing/2014/chart" uri="{C3380CC4-5D6E-409C-BE32-E72D297353CC}">
              <c16:uniqueId val="{00000000-CCB8-4DDF-B43B-B5CC446BEC44}"/>
            </c:ext>
          </c:extLst>
        </c:ser>
        <c:dLbls>
          <c:showLegendKey val="0"/>
          <c:showVal val="0"/>
          <c:showCatName val="0"/>
          <c:showSerName val="0"/>
          <c:showPercent val="0"/>
          <c:showBubbleSize val="0"/>
        </c:dLbls>
        <c:axId val="1680361439"/>
        <c:axId val="1680387839"/>
      </c:scatterChart>
      <c:valAx>
        <c:axId val="16803614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80387839"/>
        <c:crosses val="autoZero"/>
        <c:crossBetween val="midCat"/>
      </c:valAx>
      <c:valAx>
        <c:axId val="168038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803614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scatterChart>
        <c:scatterStyle val="lineMarker"/>
        <c:varyColors val="0"/>
        <c:ser>
          <c:idx val="0"/>
          <c:order val="0"/>
          <c:tx>
            <c:v>Service Index &amp; Resolution Time</c:v>
          </c:tx>
          <c:spPr>
            <a:ln w="25400" cap="rnd">
              <a:noFill/>
              <a:round/>
            </a:ln>
            <a:effectLst/>
          </c:spPr>
          <c:marker>
            <c:symbol val="circle"/>
            <c:size val="5"/>
            <c:spPr>
              <a:solidFill>
                <a:schemeClr val="accent1"/>
              </a:solidFill>
              <a:ln w="9525">
                <a:solidFill>
                  <a:schemeClr val="accent1"/>
                </a:solidFill>
              </a:ln>
              <a:effectLst/>
            </c:spPr>
          </c:marker>
          <c:xVal>
            <c:numRef>
              <c:f>Task10!$H$7:$H$50</c:f>
              <c:numCache>
                <c:formatCode>0.000</c:formatCode>
                <c:ptCount val="44"/>
                <c:pt idx="0">
                  <c:v>1.6666666666666667</c:v>
                </c:pt>
                <c:pt idx="1">
                  <c:v>2</c:v>
                </c:pt>
                <c:pt idx="2">
                  <c:v>2.3333333333333335</c:v>
                </c:pt>
                <c:pt idx="3">
                  <c:v>3.3333333333333335</c:v>
                </c:pt>
                <c:pt idx="4">
                  <c:v>3.3333333333333335</c:v>
                </c:pt>
                <c:pt idx="5">
                  <c:v>2</c:v>
                </c:pt>
                <c:pt idx="6">
                  <c:v>3.3333333333333335</c:v>
                </c:pt>
                <c:pt idx="7">
                  <c:v>4</c:v>
                </c:pt>
                <c:pt idx="8">
                  <c:v>4</c:v>
                </c:pt>
                <c:pt idx="9">
                  <c:v>3</c:v>
                </c:pt>
                <c:pt idx="10">
                  <c:v>3</c:v>
                </c:pt>
                <c:pt idx="11">
                  <c:v>2.6666666666666665</c:v>
                </c:pt>
                <c:pt idx="12">
                  <c:v>4</c:v>
                </c:pt>
                <c:pt idx="13">
                  <c:v>4</c:v>
                </c:pt>
                <c:pt idx="14">
                  <c:v>4</c:v>
                </c:pt>
                <c:pt idx="15">
                  <c:v>3.6666666666666665</c:v>
                </c:pt>
                <c:pt idx="16">
                  <c:v>2</c:v>
                </c:pt>
                <c:pt idx="17">
                  <c:v>2.3333333333333335</c:v>
                </c:pt>
                <c:pt idx="18">
                  <c:v>2.3333333333333335</c:v>
                </c:pt>
                <c:pt idx="19">
                  <c:v>3.6666666666666665</c:v>
                </c:pt>
                <c:pt idx="20">
                  <c:v>3.6666666666666665</c:v>
                </c:pt>
                <c:pt idx="21">
                  <c:v>4</c:v>
                </c:pt>
                <c:pt idx="22">
                  <c:v>1</c:v>
                </c:pt>
                <c:pt idx="23">
                  <c:v>3</c:v>
                </c:pt>
                <c:pt idx="24">
                  <c:v>3</c:v>
                </c:pt>
                <c:pt idx="25">
                  <c:v>2</c:v>
                </c:pt>
                <c:pt idx="26">
                  <c:v>2</c:v>
                </c:pt>
                <c:pt idx="27">
                  <c:v>4</c:v>
                </c:pt>
                <c:pt idx="28">
                  <c:v>4</c:v>
                </c:pt>
                <c:pt idx="29">
                  <c:v>3</c:v>
                </c:pt>
                <c:pt idx="30">
                  <c:v>2</c:v>
                </c:pt>
                <c:pt idx="31">
                  <c:v>4</c:v>
                </c:pt>
                <c:pt idx="32">
                  <c:v>4</c:v>
                </c:pt>
                <c:pt idx="33">
                  <c:v>4</c:v>
                </c:pt>
                <c:pt idx="34">
                  <c:v>4</c:v>
                </c:pt>
                <c:pt idx="35">
                  <c:v>2.3333333333333335</c:v>
                </c:pt>
                <c:pt idx="36">
                  <c:v>4</c:v>
                </c:pt>
                <c:pt idx="37">
                  <c:v>2</c:v>
                </c:pt>
                <c:pt idx="38">
                  <c:v>3.3333333333333335</c:v>
                </c:pt>
                <c:pt idx="39">
                  <c:v>4</c:v>
                </c:pt>
                <c:pt idx="40">
                  <c:v>2.3333333333333335</c:v>
                </c:pt>
                <c:pt idx="41">
                  <c:v>3.3333333333333335</c:v>
                </c:pt>
                <c:pt idx="42">
                  <c:v>3</c:v>
                </c:pt>
                <c:pt idx="43">
                  <c:v>2.6666666666666665</c:v>
                </c:pt>
              </c:numCache>
            </c:numRef>
          </c:xVal>
          <c:yVal>
            <c:numRef>
              <c:f>Task10!$J$7:$J$50</c:f>
              <c:numCache>
                <c:formatCode>General</c:formatCode>
                <c:ptCount val="44"/>
                <c:pt idx="0">
                  <c:v>0.36</c:v>
                </c:pt>
                <c:pt idx="1">
                  <c:v>7.99</c:v>
                </c:pt>
                <c:pt idx="2">
                  <c:v>0.04</c:v>
                </c:pt>
                <c:pt idx="3" formatCode="0.00">
                  <c:v>24.31</c:v>
                </c:pt>
                <c:pt idx="4">
                  <c:v>0.65</c:v>
                </c:pt>
                <c:pt idx="5">
                  <c:v>7.0000000000000007E-2</c:v>
                </c:pt>
                <c:pt idx="6" formatCode="0.00">
                  <c:v>1.17</c:v>
                </c:pt>
                <c:pt idx="7">
                  <c:v>8.6300000000000008</c:v>
                </c:pt>
                <c:pt idx="8" formatCode="0.00">
                  <c:v>1.1599999999999999</c:v>
                </c:pt>
                <c:pt idx="9">
                  <c:v>0.02</c:v>
                </c:pt>
                <c:pt idx="10">
                  <c:v>0.91</c:v>
                </c:pt>
                <c:pt idx="11">
                  <c:v>0.06</c:v>
                </c:pt>
                <c:pt idx="12">
                  <c:v>0.15</c:v>
                </c:pt>
                <c:pt idx="13">
                  <c:v>23.24</c:v>
                </c:pt>
                <c:pt idx="14">
                  <c:v>0.05</c:v>
                </c:pt>
                <c:pt idx="15">
                  <c:v>5.35</c:v>
                </c:pt>
                <c:pt idx="16">
                  <c:v>0.03</c:v>
                </c:pt>
                <c:pt idx="17">
                  <c:v>0.01</c:v>
                </c:pt>
                <c:pt idx="18">
                  <c:v>0.05</c:v>
                </c:pt>
                <c:pt idx="19">
                  <c:v>0.05</c:v>
                </c:pt>
                <c:pt idx="20">
                  <c:v>2.4300000000000002</c:v>
                </c:pt>
                <c:pt idx="21">
                  <c:v>0.03</c:v>
                </c:pt>
                <c:pt idx="22">
                  <c:v>48.92</c:v>
                </c:pt>
                <c:pt idx="23">
                  <c:v>0.03</c:v>
                </c:pt>
                <c:pt idx="24" formatCode="0.00">
                  <c:v>7.08</c:v>
                </c:pt>
                <c:pt idx="25">
                  <c:v>0.89</c:v>
                </c:pt>
                <c:pt idx="26">
                  <c:v>0.01</c:v>
                </c:pt>
                <c:pt idx="27">
                  <c:v>71.680000000000007</c:v>
                </c:pt>
                <c:pt idx="28">
                  <c:v>6.98</c:v>
                </c:pt>
                <c:pt idx="29">
                  <c:v>2.96</c:v>
                </c:pt>
                <c:pt idx="30">
                  <c:v>0.03</c:v>
                </c:pt>
                <c:pt idx="31">
                  <c:v>0.01</c:v>
                </c:pt>
                <c:pt idx="32">
                  <c:v>5.96</c:v>
                </c:pt>
                <c:pt idx="33">
                  <c:v>6.16</c:v>
                </c:pt>
                <c:pt idx="34">
                  <c:v>0.96</c:v>
                </c:pt>
                <c:pt idx="35">
                  <c:v>0.03</c:v>
                </c:pt>
                <c:pt idx="36">
                  <c:v>0.1</c:v>
                </c:pt>
                <c:pt idx="37">
                  <c:v>0.05</c:v>
                </c:pt>
                <c:pt idx="38">
                  <c:v>0.01</c:v>
                </c:pt>
                <c:pt idx="39">
                  <c:v>0.02</c:v>
                </c:pt>
                <c:pt idx="40">
                  <c:v>0.03</c:v>
                </c:pt>
                <c:pt idx="41" formatCode="0.00">
                  <c:v>1.06</c:v>
                </c:pt>
                <c:pt idx="42">
                  <c:v>0.21</c:v>
                </c:pt>
                <c:pt idx="43">
                  <c:v>0.24</c:v>
                </c:pt>
              </c:numCache>
            </c:numRef>
          </c:yVal>
          <c:smooth val="0"/>
          <c:extLst>
            <c:ext xmlns:c16="http://schemas.microsoft.com/office/drawing/2014/chart" uri="{C3380CC4-5D6E-409C-BE32-E72D297353CC}">
              <c16:uniqueId val="{00000000-A37D-4CE8-A2C9-E985B35D012D}"/>
            </c:ext>
          </c:extLst>
        </c:ser>
        <c:dLbls>
          <c:showLegendKey val="0"/>
          <c:showVal val="0"/>
          <c:showCatName val="0"/>
          <c:showSerName val="0"/>
          <c:showPercent val="0"/>
          <c:showBubbleSize val="0"/>
        </c:dLbls>
        <c:axId val="1638566639"/>
        <c:axId val="1638560879"/>
      </c:scatterChart>
      <c:valAx>
        <c:axId val="16385666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38560879"/>
        <c:crosses val="autoZero"/>
        <c:crossBetween val="midCat"/>
      </c:valAx>
      <c:valAx>
        <c:axId val="163856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385666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a:t>
            </a:r>
          </a:p>
        </c:rich>
      </c:tx>
      <c:overlay val="0"/>
    </c:title>
    <c:autoTitleDeleted val="0"/>
    <c:plotArea>
      <c:layout/>
      <c:barChart>
        <c:barDir val="col"/>
        <c:grouping val="clustered"/>
        <c:varyColors val="0"/>
        <c:ser>
          <c:idx val="0"/>
          <c:order val="0"/>
          <c:tx>
            <c:v>Frequency</c:v>
          </c:tx>
          <c:invertIfNegative val="0"/>
          <c:cat>
            <c:strRef>
              <c:f>'Task3 Gross sales'!$A$2:$A$12</c:f>
              <c:strCache>
                <c:ptCount val="11"/>
                <c:pt idx="0">
                  <c:v>500</c:v>
                </c:pt>
                <c:pt idx="1">
                  <c:v>1000</c:v>
                </c:pt>
                <c:pt idx="2">
                  <c:v>5000</c:v>
                </c:pt>
                <c:pt idx="3">
                  <c:v>10000</c:v>
                </c:pt>
                <c:pt idx="4">
                  <c:v>20000</c:v>
                </c:pt>
                <c:pt idx="5">
                  <c:v>30000</c:v>
                </c:pt>
                <c:pt idx="6">
                  <c:v>40000</c:v>
                </c:pt>
                <c:pt idx="7">
                  <c:v>50000</c:v>
                </c:pt>
                <c:pt idx="8">
                  <c:v>100000</c:v>
                </c:pt>
                <c:pt idx="9">
                  <c:v>200000</c:v>
                </c:pt>
                <c:pt idx="10">
                  <c:v>More</c:v>
                </c:pt>
              </c:strCache>
            </c:strRef>
          </c:cat>
          <c:val>
            <c:numRef>
              <c:f>'Task3 Gross sales'!$B$2:$B$12</c:f>
              <c:numCache>
                <c:formatCode>General</c:formatCode>
                <c:ptCount val="11"/>
                <c:pt idx="0">
                  <c:v>6</c:v>
                </c:pt>
                <c:pt idx="1">
                  <c:v>2</c:v>
                </c:pt>
                <c:pt idx="2">
                  <c:v>18</c:v>
                </c:pt>
                <c:pt idx="3">
                  <c:v>6</c:v>
                </c:pt>
                <c:pt idx="4">
                  <c:v>6</c:v>
                </c:pt>
                <c:pt idx="5">
                  <c:v>5</c:v>
                </c:pt>
                <c:pt idx="6">
                  <c:v>6</c:v>
                </c:pt>
                <c:pt idx="7">
                  <c:v>1</c:v>
                </c:pt>
                <c:pt idx="8">
                  <c:v>6</c:v>
                </c:pt>
                <c:pt idx="9">
                  <c:v>4</c:v>
                </c:pt>
                <c:pt idx="10">
                  <c:v>0</c:v>
                </c:pt>
              </c:numCache>
            </c:numRef>
          </c:val>
          <c:extLst>
            <c:ext xmlns:c16="http://schemas.microsoft.com/office/drawing/2014/chart" uri="{C3380CC4-5D6E-409C-BE32-E72D297353CC}">
              <c16:uniqueId val="{00000001-FE0C-4171-AA64-E84344E3AF03}"/>
            </c:ext>
          </c:extLst>
        </c:ser>
        <c:dLbls>
          <c:showLegendKey val="0"/>
          <c:showVal val="0"/>
          <c:showCatName val="0"/>
          <c:showSerName val="0"/>
          <c:showPercent val="0"/>
          <c:showBubbleSize val="0"/>
        </c:dLbls>
        <c:gapWidth val="150"/>
        <c:axId val="832865647"/>
        <c:axId val="832866607"/>
      </c:barChart>
      <c:catAx>
        <c:axId val="832865647"/>
        <c:scaling>
          <c:orientation val="minMax"/>
        </c:scaling>
        <c:delete val="0"/>
        <c:axPos val="b"/>
        <c:title>
          <c:tx>
            <c:rich>
              <a:bodyPr/>
              <a:lstStyle/>
              <a:p>
                <a:pPr>
                  <a:defRPr/>
                </a:pPr>
                <a:r>
                  <a:rPr lang="en-GB"/>
                  <a:t>Bin</a:t>
                </a:r>
              </a:p>
            </c:rich>
          </c:tx>
          <c:overlay val="0"/>
        </c:title>
        <c:numFmt formatCode="General" sourceLinked="1"/>
        <c:majorTickMark val="out"/>
        <c:minorTickMark val="none"/>
        <c:tickLblPos val="nextTo"/>
        <c:crossAx val="832866607"/>
        <c:crosses val="autoZero"/>
        <c:auto val="1"/>
        <c:lblAlgn val="ctr"/>
        <c:lblOffset val="100"/>
        <c:noMultiLvlLbl val="0"/>
      </c:catAx>
      <c:valAx>
        <c:axId val="832866607"/>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832865647"/>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a:t>
            </a:r>
          </a:p>
        </c:rich>
      </c:tx>
      <c:overlay val="0"/>
    </c:title>
    <c:autoTitleDeleted val="0"/>
    <c:plotArea>
      <c:layout/>
      <c:barChart>
        <c:barDir val="col"/>
        <c:grouping val="clustered"/>
        <c:varyColors val="0"/>
        <c:ser>
          <c:idx val="0"/>
          <c:order val="0"/>
          <c:tx>
            <c:v>Frequency</c:v>
          </c:tx>
          <c:invertIfNegative val="0"/>
          <c:cat>
            <c:strRef>
              <c:f>'Task3 Gross profit'!$A$2:$A$8</c:f>
              <c:strCache>
                <c:ptCount val="7"/>
                <c:pt idx="0">
                  <c:v>500</c:v>
                </c:pt>
                <c:pt idx="1">
                  <c:v>1000</c:v>
                </c:pt>
                <c:pt idx="2">
                  <c:v>5000</c:v>
                </c:pt>
                <c:pt idx="3">
                  <c:v>10000</c:v>
                </c:pt>
                <c:pt idx="4">
                  <c:v>20000</c:v>
                </c:pt>
                <c:pt idx="5">
                  <c:v>30000</c:v>
                </c:pt>
                <c:pt idx="6">
                  <c:v>More</c:v>
                </c:pt>
              </c:strCache>
            </c:strRef>
          </c:cat>
          <c:val>
            <c:numRef>
              <c:f>'Task3 Gross profit'!$B$2:$B$8</c:f>
              <c:numCache>
                <c:formatCode>General</c:formatCode>
                <c:ptCount val="7"/>
                <c:pt idx="0">
                  <c:v>18</c:v>
                </c:pt>
                <c:pt idx="1">
                  <c:v>8</c:v>
                </c:pt>
                <c:pt idx="2">
                  <c:v>15</c:v>
                </c:pt>
                <c:pt idx="3">
                  <c:v>10</c:v>
                </c:pt>
                <c:pt idx="4">
                  <c:v>7</c:v>
                </c:pt>
                <c:pt idx="5">
                  <c:v>2</c:v>
                </c:pt>
                <c:pt idx="6">
                  <c:v>0</c:v>
                </c:pt>
              </c:numCache>
            </c:numRef>
          </c:val>
          <c:extLst>
            <c:ext xmlns:c16="http://schemas.microsoft.com/office/drawing/2014/chart" uri="{C3380CC4-5D6E-409C-BE32-E72D297353CC}">
              <c16:uniqueId val="{00000001-C0AB-412A-A25C-8148B31A6443}"/>
            </c:ext>
          </c:extLst>
        </c:ser>
        <c:dLbls>
          <c:showLegendKey val="0"/>
          <c:showVal val="0"/>
          <c:showCatName val="0"/>
          <c:showSerName val="0"/>
          <c:showPercent val="0"/>
          <c:showBubbleSize val="0"/>
        </c:dLbls>
        <c:gapWidth val="150"/>
        <c:axId val="669391184"/>
        <c:axId val="989722607"/>
      </c:barChart>
      <c:catAx>
        <c:axId val="669391184"/>
        <c:scaling>
          <c:orientation val="minMax"/>
        </c:scaling>
        <c:delete val="0"/>
        <c:axPos val="b"/>
        <c:title>
          <c:tx>
            <c:rich>
              <a:bodyPr/>
              <a:lstStyle/>
              <a:p>
                <a:pPr>
                  <a:defRPr/>
                </a:pPr>
                <a:r>
                  <a:rPr lang="en-GB"/>
                  <a:t>Bin</a:t>
                </a:r>
              </a:p>
            </c:rich>
          </c:tx>
          <c:overlay val="0"/>
        </c:title>
        <c:numFmt formatCode="General" sourceLinked="1"/>
        <c:majorTickMark val="out"/>
        <c:minorTickMark val="none"/>
        <c:tickLblPos val="nextTo"/>
        <c:crossAx val="989722607"/>
        <c:crosses val="autoZero"/>
        <c:auto val="1"/>
        <c:lblAlgn val="ctr"/>
        <c:lblOffset val="100"/>
        <c:noMultiLvlLbl val="0"/>
      </c:catAx>
      <c:valAx>
        <c:axId val="989722607"/>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669391184"/>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a:t>
            </a:r>
          </a:p>
        </c:rich>
      </c:tx>
      <c:overlay val="0"/>
    </c:title>
    <c:autoTitleDeleted val="0"/>
    <c:plotArea>
      <c:layout/>
      <c:barChart>
        <c:barDir val="col"/>
        <c:grouping val="clustered"/>
        <c:varyColors val="0"/>
        <c:ser>
          <c:idx val="0"/>
          <c:order val="0"/>
          <c:tx>
            <c:v>Frequency</c:v>
          </c:tx>
          <c:invertIfNegative val="0"/>
          <c:cat>
            <c:strRef>
              <c:f>'Task3 Automated Gross sales'!$A$2:$A$9</c:f>
              <c:strCache>
                <c:ptCount val="8"/>
                <c:pt idx="0">
                  <c:v>170</c:v>
                </c:pt>
                <c:pt idx="1">
                  <c:v>25731,57143</c:v>
                </c:pt>
                <c:pt idx="2">
                  <c:v>51293,14286</c:v>
                </c:pt>
                <c:pt idx="3">
                  <c:v>76854,71429</c:v>
                </c:pt>
                <c:pt idx="4">
                  <c:v>102416,2857</c:v>
                </c:pt>
                <c:pt idx="5">
                  <c:v>127977,8571</c:v>
                </c:pt>
                <c:pt idx="6">
                  <c:v>153539,4286</c:v>
                </c:pt>
                <c:pt idx="7">
                  <c:v>More</c:v>
                </c:pt>
              </c:strCache>
            </c:strRef>
          </c:cat>
          <c:val>
            <c:numRef>
              <c:f>'Task3 Automated Gross sales'!$B$2:$B$9</c:f>
              <c:numCache>
                <c:formatCode>General</c:formatCode>
                <c:ptCount val="8"/>
                <c:pt idx="0">
                  <c:v>1</c:v>
                </c:pt>
                <c:pt idx="1">
                  <c:v>38</c:v>
                </c:pt>
                <c:pt idx="2">
                  <c:v>11</c:v>
                </c:pt>
                <c:pt idx="3">
                  <c:v>4</c:v>
                </c:pt>
                <c:pt idx="4">
                  <c:v>2</c:v>
                </c:pt>
                <c:pt idx="5">
                  <c:v>3</c:v>
                </c:pt>
                <c:pt idx="6">
                  <c:v>0</c:v>
                </c:pt>
                <c:pt idx="7">
                  <c:v>1</c:v>
                </c:pt>
              </c:numCache>
            </c:numRef>
          </c:val>
          <c:extLst>
            <c:ext xmlns:c16="http://schemas.microsoft.com/office/drawing/2014/chart" uri="{C3380CC4-5D6E-409C-BE32-E72D297353CC}">
              <c16:uniqueId val="{00000001-41E4-4717-A83D-EFE77F11FE0E}"/>
            </c:ext>
          </c:extLst>
        </c:ser>
        <c:dLbls>
          <c:showLegendKey val="0"/>
          <c:showVal val="0"/>
          <c:showCatName val="0"/>
          <c:showSerName val="0"/>
          <c:showPercent val="0"/>
          <c:showBubbleSize val="0"/>
        </c:dLbls>
        <c:gapWidth val="150"/>
        <c:axId val="679730864"/>
        <c:axId val="679733264"/>
      </c:barChart>
      <c:catAx>
        <c:axId val="679730864"/>
        <c:scaling>
          <c:orientation val="minMax"/>
        </c:scaling>
        <c:delete val="0"/>
        <c:axPos val="b"/>
        <c:title>
          <c:tx>
            <c:rich>
              <a:bodyPr/>
              <a:lstStyle/>
              <a:p>
                <a:pPr>
                  <a:defRPr/>
                </a:pPr>
                <a:r>
                  <a:rPr lang="en-GB"/>
                  <a:t>Bin</a:t>
                </a:r>
              </a:p>
            </c:rich>
          </c:tx>
          <c:overlay val="0"/>
        </c:title>
        <c:numFmt formatCode="General" sourceLinked="1"/>
        <c:majorTickMark val="out"/>
        <c:minorTickMark val="none"/>
        <c:tickLblPos val="nextTo"/>
        <c:crossAx val="679733264"/>
        <c:crosses val="autoZero"/>
        <c:auto val="1"/>
        <c:lblAlgn val="ctr"/>
        <c:lblOffset val="100"/>
        <c:noMultiLvlLbl val="0"/>
      </c:catAx>
      <c:valAx>
        <c:axId val="679733264"/>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679730864"/>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a:t>
            </a:r>
          </a:p>
        </c:rich>
      </c:tx>
      <c:overlay val="0"/>
    </c:title>
    <c:autoTitleDeleted val="0"/>
    <c:plotArea>
      <c:layout/>
      <c:barChart>
        <c:barDir val="col"/>
        <c:grouping val="clustered"/>
        <c:varyColors val="0"/>
        <c:ser>
          <c:idx val="0"/>
          <c:order val="0"/>
          <c:tx>
            <c:v>Frequency</c:v>
          </c:tx>
          <c:invertIfNegative val="0"/>
          <c:cat>
            <c:strRef>
              <c:f>'Task3 Automated Gross profit'!$A$2:$A$9</c:f>
              <c:strCache>
                <c:ptCount val="8"/>
                <c:pt idx="0">
                  <c:v>40,6</c:v>
                </c:pt>
                <c:pt idx="1">
                  <c:v>3660,42</c:v>
                </c:pt>
                <c:pt idx="2">
                  <c:v>7280,24</c:v>
                </c:pt>
                <c:pt idx="3">
                  <c:v>10900,06</c:v>
                </c:pt>
                <c:pt idx="4">
                  <c:v>14519,88</c:v>
                </c:pt>
                <c:pt idx="5">
                  <c:v>18139,7</c:v>
                </c:pt>
                <c:pt idx="6">
                  <c:v>21759,52</c:v>
                </c:pt>
                <c:pt idx="7">
                  <c:v>More</c:v>
                </c:pt>
              </c:strCache>
            </c:strRef>
          </c:cat>
          <c:val>
            <c:numRef>
              <c:f>'Task3 Automated Gross profit'!$B$2:$B$9</c:f>
              <c:numCache>
                <c:formatCode>General</c:formatCode>
                <c:ptCount val="8"/>
                <c:pt idx="0">
                  <c:v>1</c:v>
                </c:pt>
                <c:pt idx="1">
                  <c:v>39</c:v>
                </c:pt>
                <c:pt idx="2">
                  <c:v>8</c:v>
                </c:pt>
                <c:pt idx="3">
                  <c:v>3</c:v>
                </c:pt>
                <c:pt idx="4">
                  <c:v>5</c:v>
                </c:pt>
                <c:pt idx="5">
                  <c:v>2</c:v>
                </c:pt>
                <c:pt idx="6">
                  <c:v>0</c:v>
                </c:pt>
                <c:pt idx="7">
                  <c:v>2</c:v>
                </c:pt>
              </c:numCache>
            </c:numRef>
          </c:val>
          <c:extLst>
            <c:ext xmlns:c16="http://schemas.microsoft.com/office/drawing/2014/chart" uri="{C3380CC4-5D6E-409C-BE32-E72D297353CC}">
              <c16:uniqueId val="{00000001-E645-448D-A88B-99A99F3AEAB3}"/>
            </c:ext>
          </c:extLst>
        </c:ser>
        <c:dLbls>
          <c:showLegendKey val="0"/>
          <c:showVal val="0"/>
          <c:showCatName val="0"/>
          <c:showSerName val="0"/>
          <c:showPercent val="0"/>
          <c:showBubbleSize val="0"/>
        </c:dLbls>
        <c:gapWidth val="150"/>
        <c:axId val="912698623"/>
        <c:axId val="749100623"/>
      </c:barChart>
      <c:catAx>
        <c:axId val="912698623"/>
        <c:scaling>
          <c:orientation val="minMax"/>
        </c:scaling>
        <c:delete val="0"/>
        <c:axPos val="b"/>
        <c:title>
          <c:tx>
            <c:rich>
              <a:bodyPr/>
              <a:lstStyle/>
              <a:p>
                <a:pPr>
                  <a:defRPr/>
                </a:pPr>
                <a:r>
                  <a:rPr lang="en-GB"/>
                  <a:t>Bin</a:t>
                </a:r>
              </a:p>
            </c:rich>
          </c:tx>
          <c:overlay val="0"/>
        </c:title>
        <c:numFmt formatCode="General" sourceLinked="1"/>
        <c:majorTickMark val="out"/>
        <c:minorTickMark val="none"/>
        <c:tickLblPos val="nextTo"/>
        <c:crossAx val="749100623"/>
        <c:crosses val="autoZero"/>
        <c:auto val="1"/>
        <c:lblAlgn val="ctr"/>
        <c:lblOffset val="100"/>
        <c:noMultiLvlLbl val="0"/>
      </c:catAx>
      <c:valAx>
        <c:axId val="749100623"/>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912698623"/>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4</xdr:col>
      <xdr:colOff>358140</xdr:colOff>
      <xdr:row>5</xdr:row>
      <xdr:rowOff>41910</xdr:rowOff>
    </xdr:from>
    <xdr:to>
      <xdr:col>12</xdr:col>
      <xdr:colOff>53340</xdr:colOff>
      <xdr:row>20</xdr:row>
      <xdr:rowOff>26670</xdr:rowOff>
    </xdr:to>
    <xdr:graphicFrame macro="">
      <xdr:nvGraphicFramePr>
        <xdr:cNvPr id="3" name="Chart 2">
          <a:extLst>
            <a:ext uri="{FF2B5EF4-FFF2-40B4-BE49-F238E27FC236}">
              <a16:creationId xmlns:a16="http://schemas.microsoft.com/office/drawing/2014/main" id="{E4F3D343-C06D-4EAE-E6A7-4DD70E7F9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251459</xdr:colOff>
      <xdr:row>5</xdr:row>
      <xdr:rowOff>175260</xdr:rowOff>
    </xdr:from>
    <xdr:to>
      <xdr:col>17</xdr:col>
      <xdr:colOff>158749</xdr:colOff>
      <xdr:row>15</xdr:row>
      <xdr:rowOff>175260</xdr:rowOff>
    </xdr:to>
    <xdr:graphicFrame macro="">
      <xdr:nvGraphicFramePr>
        <xdr:cNvPr id="12" name="Chart 11">
          <a:extLst>
            <a:ext uri="{FF2B5EF4-FFF2-40B4-BE49-F238E27FC236}">
              <a16:creationId xmlns:a16="http://schemas.microsoft.com/office/drawing/2014/main" id="{89F882F5-05D7-4456-98EF-38C13B517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18</xdr:row>
      <xdr:rowOff>175260</xdr:rowOff>
    </xdr:from>
    <xdr:to>
      <xdr:col>17</xdr:col>
      <xdr:colOff>192912</xdr:colOff>
      <xdr:row>28</xdr:row>
      <xdr:rowOff>175260</xdr:rowOff>
    </xdr:to>
    <xdr:graphicFrame macro="">
      <xdr:nvGraphicFramePr>
        <xdr:cNvPr id="15" name="Chart 14">
          <a:extLst>
            <a:ext uri="{FF2B5EF4-FFF2-40B4-BE49-F238E27FC236}">
              <a16:creationId xmlns:a16="http://schemas.microsoft.com/office/drawing/2014/main" id="{C731E92F-3021-4C3C-929B-BC2CE537D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251460</xdr:colOff>
      <xdr:row>31</xdr:row>
      <xdr:rowOff>175260</xdr:rowOff>
    </xdr:from>
    <xdr:to>
      <xdr:col>16</xdr:col>
      <xdr:colOff>251460</xdr:colOff>
      <xdr:row>41</xdr:row>
      <xdr:rowOff>175260</xdr:rowOff>
    </xdr:to>
    <xdr:graphicFrame macro="">
      <xdr:nvGraphicFramePr>
        <xdr:cNvPr id="16" name="Chart 15">
          <a:extLst>
            <a:ext uri="{FF2B5EF4-FFF2-40B4-BE49-F238E27FC236}">
              <a16:creationId xmlns:a16="http://schemas.microsoft.com/office/drawing/2014/main" id="{1CD8E298-2505-44A7-ACC9-D7FC4E339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251460</xdr:colOff>
      <xdr:row>46</xdr:row>
      <xdr:rowOff>175260</xdr:rowOff>
    </xdr:from>
    <xdr:to>
      <xdr:col>16</xdr:col>
      <xdr:colOff>251460</xdr:colOff>
      <xdr:row>56</xdr:row>
      <xdr:rowOff>175260</xdr:rowOff>
    </xdr:to>
    <xdr:graphicFrame macro="">
      <xdr:nvGraphicFramePr>
        <xdr:cNvPr id="17" name="Chart 16">
          <a:extLst>
            <a:ext uri="{FF2B5EF4-FFF2-40B4-BE49-F238E27FC236}">
              <a16:creationId xmlns:a16="http://schemas.microsoft.com/office/drawing/2014/main" id="{140E0C1A-AB09-48F7-9148-11B2AC03D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333375</xdr:colOff>
      <xdr:row>1</xdr:row>
      <xdr:rowOff>176212</xdr:rowOff>
    </xdr:from>
    <xdr:to>
      <xdr:col>13</xdr:col>
      <xdr:colOff>28575</xdr:colOff>
      <xdr:row>16</xdr:row>
      <xdr:rowOff>61912</xdr:rowOff>
    </xdr:to>
    <xdr:graphicFrame macro="">
      <xdr:nvGraphicFramePr>
        <xdr:cNvPr id="2" name="Chart 1">
          <a:extLst>
            <a:ext uri="{FF2B5EF4-FFF2-40B4-BE49-F238E27FC236}">
              <a16:creationId xmlns:a16="http://schemas.microsoft.com/office/drawing/2014/main" id="{5605971D-E34F-2DD7-EB90-DAB1460A3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123825</xdr:colOff>
      <xdr:row>4</xdr:row>
      <xdr:rowOff>109537</xdr:rowOff>
    </xdr:from>
    <xdr:to>
      <xdr:col>20</xdr:col>
      <xdr:colOff>428625</xdr:colOff>
      <xdr:row>18</xdr:row>
      <xdr:rowOff>185737</xdr:rowOff>
    </xdr:to>
    <xdr:graphicFrame macro="">
      <xdr:nvGraphicFramePr>
        <xdr:cNvPr id="2" name="Chart 1">
          <a:extLst>
            <a:ext uri="{FF2B5EF4-FFF2-40B4-BE49-F238E27FC236}">
              <a16:creationId xmlns:a16="http://schemas.microsoft.com/office/drawing/2014/main" id="{BEFB08E5-B0D3-4D1E-988C-3296607ED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A5B700F5-005D-7019-7DA1-C965BFC04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4EA7EB46-9F65-C13C-EF8B-00BA93626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7C553F4D-EDD7-06FB-9304-0896FDE3C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22860</xdr:colOff>
      <xdr:row>4</xdr:row>
      <xdr:rowOff>167640</xdr:rowOff>
    </xdr:from>
    <xdr:to>
      <xdr:col>18</xdr:col>
      <xdr:colOff>327660</xdr:colOff>
      <xdr:row>19</xdr:row>
      <xdr:rowOff>53340</xdr:rowOff>
    </xdr:to>
    <xdr:graphicFrame macro="">
      <xdr:nvGraphicFramePr>
        <xdr:cNvPr id="2" name="Chart 1">
          <a:extLst>
            <a:ext uri="{FF2B5EF4-FFF2-40B4-BE49-F238E27FC236}">
              <a16:creationId xmlns:a16="http://schemas.microsoft.com/office/drawing/2014/main" id="{43D326FD-892A-419A-8749-B9BC613DA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594360</xdr:colOff>
      <xdr:row>22</xdr:row>
      <xdr:rowOff>53340</xdr:rowOff>
    </xdr:from>
    <xdr:to>
      <xdr:col>18</xdr:col>
      <xdr:colOff>289560</xdr:colOff>
      <xdr:row>36</xdr:row>
      <xdr:rowOff>129540</xdr:rowOff>
    </xdr:to>
    <xdr:graphicFrame macro="">
      <xdr:nvGraphicFramePr>
        <xdr:cNvPr id="3" name="Chart 2">
          <a:extLst>
            <a:ext uri="{FF2B5EF4-FFF2-40B4-BE49-F238E27FC236}">
              <a16:creationId xmlns:a16="http://schemas.microsoft.com/office/drawing/2014/main" id="{C41F6209-E291-43C8-8187-6C07E6BCE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564444</xdr:colOff>
      <xdr:row>47</xdr:row>
      <xdr:rowOff>141110</xdr:rowOff>
    </xdr:from>
    <xdr:to>
      <xdr:col>18</xdr:col>
      <xdr:colOff>194027</xdr:colOff>
      <xdr:row>62</xdr:row>
      <xdr:rowOff>158749</xdr:rowOff>
    </xdr:to>
    <xdr:graphicFrame macro="">
      <xdr:nvGraphicFramePr>
        <xdr:cNvPr id="5" name="Chart 4">
          <a:extLst>
            <a:ext uri="{FF2B5EF4-FFF2-40B4-BE49-F238E27FC236}">
              <a16:creationId xmlns:a16="http://schemas.microsoft.com/office/drawing/2014/main" id="{73C91F06-636D-4426-940C-DBD76734A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963082</xdr:colOff>
      <xdr:row>60</xdr:row>
      <xdr:rowOff>137584</xdr:rowOff>
    </xdr:from>
    <xdr:to>
      <xdr:col>12</xdr:col>
      <xdr:colOff>814915</xdr:colOff>
      <xdr:row>72</xdr:row>
      <xdr:rowOff>143934</xdr:rowOff>
    </xdr:to>
    <xdr:graphicFrame macro="">
      <xdr:nvGraphicFramePr>
        <xdr:cNvPr id="5" name="Chart 4">
          <a:extLst>
            <a:ext uri="{FF2B5EF4-FFF2-40B4-BE49-F238E27FC236}">
              <a16:creationId xmlns:a16="http://schemas.microsoft.com/office/drawing/2014/main" id="{A1FC8C39-BC15-BDB5-E266-FC8E94EA3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317499</xdr:colOff>
      <xdr:row>52</xdr:row>
      <xdr:rowOff>120653</xdr:rowOff>
    </xdr:from>
    <xdr:to>
      <xdr:col>16</xdr:col>
      <xdr:colOff>306915</xdr:colOff>
      <xdr:row>66</xdr:row>
      <xdr:rowOff>154519</xdr:rowOff>
    </xdr:to>
    <xdr:graphicFrame macro="">
      <xdr:nvGraphicFramePr>
        <xdr:cNvPr id="15" name="Chart 14">
          <a:extLst>
            <a:ext uri="{FF2B5EF4-FFF2-40B4-BE49-F238E27FC236}">
              <a16:creationId xmlns:a16="http://schemas.microsoft.com/office/drawing/2014/main" id="{53044019-BE78-B76E-DBB3-E8B2C7730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476249</xdr:colOff>
      <xdr:row>52</xdr:row>
      <xdr:rowOff>99483</xdr:rowOff>
    </xdr:from>
    <xdr:to>
      <xdr:col>21</xdr:col>
      <xdr:colOff>285749</xdr:colOff>
      <xdr:row>66</xdr:row>
      <xdr:rowOff>133349</xdr:rowOff>
    </xdr:to>
    <xdr:graphicFrame macro="">
      <xdr:nvGraphicFramePr>
        <xdr:cNvPr id="16" name="Chart 15">
          <a:extLst>
            <a:ext uri="{FF2B5EF4-FFF2-40B4-BE49-F238E27FC236}">
              <a16:creationId xmlns:a16="http://schemas.microsoft.com/office/drawing/2014/main" id="{0E01C509-1BEB-F56D-1DBD-4D096FA87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395352</xdr:colOff>
      <xdr:row>52</xdr:row>
      <xdr:rowOff>115865</xdr:rowOff>
    </xdr:from>
    <xdr:to>
      <xdr:col>37</xdr:col>
      <xdr:colOff>61325</xdr:colOff>
      <xdr:row>66</xdr:row>
      <xdr:rowOff>118996</xdr:rowOff>
    </xdr:to>
    <xdr:graphicFrame macro="">
      <xdr:nvGraphicFramePr>
        <xdr:cNvPr id="2" name="Chart 1">
          <a:extLst>
            <a:ext uri="{FF2B5EF4-FFF2-40B4-BE49-F238E27FC236}">
              <a16:creationId xmlns:a16="http://schemas.microsoft.com/office/drawing/2014/main" id="{6FF7B82A-B0C4-3482-6973-0DE787176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499736</xdr:colOff>
      <xdr:row>52</xdr:row>
      <xdr:rowOff>102819</xdr:rowOff>
    </xdr:from>
    <xdr:to>
      <xdr:col>29</xdr:col>
      <xdr:colOff>165708</xdr:colOff>
      <xdr:row>66</xdr:row>
      <xdr:rowOff>105950</xdr:rowOff>
    </xdr:to>
    <xdr:graphicFrame macro="">
      <xdr:nvGraphicFramePr>
        <xdr:cNvPr id="4" name="Chart 3">
          <a:extLst>
            <a:ext uri="{FF2B5EF4-FFF2-40B4-BE49-F238E27FC236}">
              <a16:creationId xmlns:a16="http://schemas.microsoft.com/office/drawing/2014/main" id="{7B1B8A10-5393-5F49-0EDC-5E1E69292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4</xdr:row>
      <xdr:rowOff>9525</xdr:rowOff>
    </xdr:from>
    <xdr:to>
      <xdr:col>12</xdr:col>
      <xdr:colOff>258224</xdr:colOff>
      <xdr:row>32</xdr:row>
      <xdr:rowOff>96006</xdr:rowOff>
    </xdr:to>
    <xdr:pic>
      <xdr:nvPicPr>
        <xdr:cNvPr id="2" name="Picture 1">
          <a:extLst>
            <a:ext uri="{FF2B5EF4-FFF2-40B4-BE49-F238E27FC236}">
              <a16:creationId xmlns:a16="http://schemas.microsoft.com/office/drawing/2014/main" id="{9A894A0C-233E-EE5E-E16A-55DDEC543DD8}"/>
            </a:ext>
          </a:extLst>
        </xdr:cNvPr>
        <xdr:cNvPicPr>
          <a:picLocks noChangeAspect="1"/>
        </xdr:cNvPicPr>
      </xdr:nvPicPr>
      <xdr:blipFill>
        <a:blip xmlns:r="http://schemas.openxmlformats.org/officeDocument/2006/relationships" r:embed="rId1"/>
        <a:stretch>
          <a:fillRect/>
        </a:stretch>
      </xdr:blipFill>
      <xdr:spPr>
        <a:xfrm>
          <a:off x="57150" y="771525"/>
          <a:ext cx="7516274" cy="5420481"/>
        </a:xfrm>
        <a:prstGeom prst="rect">
          <a:avLst/>
        </a:prstGeom>
      </xdr:spPr>
    </xdr:pic>
    <xdr:clientData/>
  </xdr:twoCellAnchor>
  <xdr:twoCellAnchor editAs="oneCell">
    <xdr:from>
      <xdr:col>0</xdr:col>
      <xdr:colOff>600075</xdr:colOff>
      <xdr:row>33</xdr:row>
      <xdr:rowOff>114300</xdr:rowOff>
    </xdr:from>
    <xdr:to>
      <xdr:col>8</xdr:col>
      <xdr:colOff>572177</xdr:colOff>
      <xdr:row>36</xdr:row>
      <xdr:rowOff>152485</xdr:rowOff>
    </xdr:to>
    <xdr:pic>
      <xdr:nvPicPr>
        <xdr:cNvPr id="3" name="Picture 2">
          <a:extLst>
            <a:ext uri="{FF2B5EF4-FFF2-40B4-BE49-F238E27FC236}">
              <a16:creationId xmlns:a16="http://schemas.microsoft.com/office/drawing/2014/main" id="{22DEBB59-7A0F-3653-8E6E-D2F2671CAE86}"/>
            </a:ext>
          </a:extLst>
        </xdr:cNvPr>
        <xdr:cNvPicPr>
          <a:picLocks noChangeAspect="1"/>
        </xdr:cNvPicPr>
      </xdr:nvPicPr>
      <xdr:blipFill>
        <a:blip xmlns:r="http://schemas.openxmlformats.org/officeDocument/2006/relationships" r:embed="rId2"/>
        <a:stretch>
          <a:fillRect/>
        </a:stretch>
      </xdr:blipFill>
      <xdr:spPr>
        <a:xfrm>
          <a:off x="600075" y="6400800"/>
          <a:ext cx="4848902" cy="60968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200025</xdr:colOff>
      <xdr:row>103</xdr:row>
      <xdr:rowOff>33337</xdr:rowOff>
    </xdr:from>
    <xdr:ext cx="567784" cy="49193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109921-54BD-42E3-9903-840471C9A802}"/>
                </a:ext>
              </a:extLst>
            </xdr:cNvPr>
            <xdr:cNvSpPr txBox="1"/>
          </xdr:nvSpPr>
          <xdr:spPr>
            <a:xfrm>
              <a:off x="1400175" y="11282362"/>
              <a:ext cx="567784" cy="491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nb-NO" sz="1100" b="0" i="1">
                            <a:latin typeface="Cambria Math" panose="02040503050406030204" pitchFamily="18" charset="0"/>
                          </a:rPr>
                        </m:ctrlPr>
                      </m:fPr>
                      <m:num>
                        <m:r>
                          <a:rPr lang="nb-NO" sz="1100" b="0" i="1">
                            <a:latin typeface="Cambria Math" panose="02040503050406030204" pitchFamily="18" charset="0"/>
                          </a:rPr>
                          <m:t>𝑇𝑃</m:t>
                        </m:r>
                      </m:num>
                      <m:den>
                        <m:r>
                          <a:rPr lang="nb-NO" sz="1100" b="0" i="1">
                            <a:latin typeface="Cambria Math" panose="02040503050406030204" pitchFamily="18" charset="0"/>
                          </a:rPr>
                          <m:t>𝑇𝑃</m:t>
                        </m:r>
                        <m:r>
                          <a:rPr lang="nb-NO" sz="1100" b="0" i="1">
                            <a:latin typeface="Cambria Math" panose="02040503050406030204" pitchFamily="18" charset="0"/>
                          </a:rPr>
                          <m:t>+</m:t>
                        </m:r>
                        <m:r>
                          <a:rPr lang="nb-NO" sz="1100" b="0" i="1">
                            <a:latin typeface="Cambria Math" panose="02040503050406030204" pitchFamily="18" charset="0"/>
                          </a:rPr>
                          <m:t>𝐹𝑁</m:t>
                        </m:r>
                      </m:den>
                    </m:f>
                  </m:oMath>
                </m:oMathPara>
              </a14:m>
              <a:endParaRPr lang="nb-NO" sz="1100" b="0"/>
            </a:p>
            <a:p>
              <a:endParaRPr lang="nb-NO" sz="1100"/>
            </a:p>
          </xdr:txBody>
        </xdr:sp>
      </mc:Choice>
      <mc:Fallback xmlns="">
        <xdr:sp macro="" textlink="">
          <xdr:nvSpPr>
            <xdr:cNvPr id="5" name="TextBox 4">
              <a:extLst>
                <a:ext uri="{FF2B5EF4-FFF2-40B4-BE49-F238E27FC236}">
                  <a16:creationId xmlns:a16="http://schemas.microsoft.com/office/drawing/2014/main" id="{0F109921-54BD-42E3-9903-840471C9A802}"/>
                </a:ext>
              </a:extLst>
            </xdr:cNvPr>
            <xdr:cNvSpPr txBox="1"/>
          </xdr:nvSpPr>
          <xdr:spPr>
            <a:xfrm>
              <a:off x="1400175" y="11282362"/>
              <a:ext cx="567784" cy="491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nb-NO" sz="1100" b="0" i="0">
                  <a:latin typeface="Cambria Math" panose="02040503050406030204" pitchFamily="18" charset="0"/>
                </a:rPr>
                <a:t>𝑇𝑃/(𝑇𝑃+𝐹𝑁)</a:t>
              </a:r>
              <a:endParaRPr lang="nb-NO" sz="1100" b="0"/>
            </a:p>
            <a:p>
              <a:endParaRPr lang="nb-NO" sz="1100"/>
            </a:p>
          </xdr:txBody>
        </xdr:sp>
      </mc:Fallback>
    </mc:AlternateContent>
    <xdr:clientData/>
  </xdr:oneCellAnchor>
  <xdr:oneCellAnchor>
    <xdr:from>
      <xdr:col>1</xdr:col>
      <xdr:colOff>200025</xdr:colOff>
      <xdr:row>104</xdr:row>
      <xdr:rowOff>66675</xdr:rowOff>
    </xdr:from>
    <xdr:ext cx="612604" cy="49193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569A9B6-334A-4401-969B-B03A89B30A61}"/>
                </a:ext>
              </a:extLst>
            </xdr:cNvPr>
            <xdr:cNvSpPr txBox="1"/>
          </xdr:nvSpPr>
          <xdr:spPr>
            <a:xfrm>
              <a:off x="1428750" y="11706225"/>
              <a:ext cx="612604" cy="491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nb-NO" sz="1100" b="0" i="1">
                            <a:latin typeface="Cambria Math" panose="02040503050406030204" pitchFamily="18" charset="0"/>
                          </a:rPr>
                        </m:ctrlPr>
                      </m:fPr>
                      <m:num>
                        <m:r>
                          <a:rPr lang="nb-NO" sz="1100" b="0" i="1">
                            <a:latin typeface="Cambria Math" panose="02040503050406030204" pitchFamily="18" charset="0"/>
                          </a:rPr>
                          <m:t>𝑇𝑁</m:t>
                        </m:r>
                      </m:num>
                      <m:den>
                        <m:r>
                          <a:rPr lang="nb-NO" sz="1100" b="0" i="1">
                            <a:latin typeface="Cambria Math" panose="02040503050406030204" pitchFamily="18" charset="0"/>
                          </a:rPr>
                          <m:t>𝑇𝑁</m:t>
                        </m:r>
                        <m:r>
                          <a:rPr lang="nb-NO" sz="1100" b="0" i="1">
                            <a:latin typeface="Cambria Math" panose="02040503050406030204" pitchFamily="18" charset="0"/>
                          </a:rPr>
                          <m:t>+</m:t>
                        </m:r>
                        <m:r>
                          <a:rPr lang="nb-NO" sz="1100" b="0" i="1">
                            <a:latin typeface="Cambria Math" panose="02040503050406030204" pitchFamily="18" charset="0"/>
                          </a:rPr>
                          <m:t>𝐹𝑃</m:t>
                        </m:r>
                      </m:den>
                    </m:f>
                  </m:oMath>
                </m:oMathPara>
              </a14:m>
              <a:endParaRPr lang="nb-NO" sz="1100" b="0"/>
            </a:p>
            <a:p>
              <a:endParaRPr lang="nb-NO" sz="1100"/>
            </a:p>
          </xdr:txBody>
        </xdr:sp>
      </mc:Choice>
      <mc:Fallback xmlns="">
        <xdr:sp macro="" textlink="">
          <xdr:nvSpPr>
            <xdr:cNvPr id="6" name="TextBox 5">
              <a:extLst>
                <a:ext uri="{FF2B5EF4-FFF2-40B4-BE49-F238E27FC236}">
                  <a16:creationId xmlns:a16="http://schemas.microsoft.com/office/drawing/2014/main" id="{2569A9B6-334A-4401-969B-B03A89B30A61}"/>
                </a:ext>
              </a:extLst>
            </xdr:cNvPr>
            <xdr:cNvSpPr txBox="1"/>
          </xdr:nvSpPr>
          <xdr:spPr>
            <a:xfrm>
              <a:off x="1428750" y="11706225"/>
              <a:ext cx="612604" cy="491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nb-NO" sz="1100" b="0" i="0">
                  <a:latin typeface="Cambria Math" panose="02040503050406030204" pitchFamily="18" charset="0"/>
                </a:rPr>
                <a:t>𝑇𝑁/(𝑇𝑁+𝐹𝑃)</a:t>
              </a:r>
              <a:endParaRPr lang="nb-NO" sz="1100" b="0"/>
            </a:p>
            <a:p>
              <a:endParaRPr lang="nb-NO" sz="1100"/>
            </a:p>
          </xdr:txBody>
        </xdr:sp>
      </mc:Fallback>
    </mc:AlternateContent>
    <xdr:clientData/>
  </xdr:oneCellAnchor>
  <xdr:oneCellAnchor>
    <xdr:from>
      <xdr:col>1</xdr:col>
      <xdr:colOff>57150</xdr:colOff>
      <xdr:row>105</xdr:row>
      <xdr:rowOff>38100</xdr:rowOff>
    </xdr:from>
    <xdr:ext cx="1271823" cy="49193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FF45121-65E2-4D20-A3C8-BDCD27C8C33F}"/>
                </a:ext>
              </a:extLst>
            </xdr:cNvPr>
            <xdr:cNvSpPr txBox="1"/>
          </xdr:nvSpPr>
          <xdr:spPr>
            <a:xfrm>
              <a:off x="1285875" y="12068175"/>
              <a:ext cx="1271823" cy="491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nb-NO" sz="1100" b="0" i="1">
                            <a:latin typeface="Cambria Math" panose="02040503050406030204" pitchFamily="18" charset="0"/>
                          </a:rPr>
                        </m:ctrlPr>
                      </m:fPr>
                      <m:num>
                        <m:r>
                          <a:rPr lang="nb-NO" sz="1100" b="0" i="1">
                            <a:latin typeface="Cambria Math" panose="02040503050406030204" pitchFamily="18" charset="0"/>
                          </a:rPr>
                          <m:t>𝑇𝑃</m:t>
                        </m:r>
                        <m:r>
                          <a:rPr lang="nb-NO" sz="1100" b="0" i="1">
                            <a:latin typeface="Cambria Math" panose="02040503050406030204" pitchFamily="18" charset="0"/>
                          </a:rPr>
                          <m:t>+</m:t>
                        </m:r>
                        <m:r>
                          <a:rPr lang="nb-NO" sz="1100" b="0" i="1">
                            <a:latin typeface="Cambria Math" panose="02040503050406030204" pitchFamily="18" charset="0"/>
                          </a:rPr>
                          <m:t>𝑇𝑁</m:t>
                        </m:r>
                      </m:num>
                      <m:den>
                        <m:r>
                          <a:rPr lang="nb-NO" sz="1100" b="0" i="1">
                            <a:latin typeface="Cambria Math" panose="02040503050406030204" pitchFamily="18" charset="0"/>
                          </a:rPr>
                          <m:t>𝑇𝑃</m:t>
                        </m:r>
                        <m:r>
                          <a:rPr lang="nb-NO" sz="1100" b="0" i="1">
                            <a:latin typeface="Cambria Math" panose="02040503050406030204" pitchFamily="18" charset="0"/>
                          </a:rPr>
                          <m:t>+</m:t>
                        </m:r>
                        <m:r>
                          <a:rPr lang="nb-NO" sz="1100" b="0" i="1">
                            <a:latin typeface="Cambria Math" panose="02040503050406030204" pitchFamily="18" charset="0"/>
                          </a:rPr>
                          <m:t>𝑇𝑁</m:t>
                        </m:r>
                        <m:r>
                          <a:rPr lang="nb-NO" sz="1100" b="0" i="1">
                            <a:latin typeface="Cambria Math" panose="02040503050406030204" pitchFamily="18" charset="0"/>
                          </a:rPr>
                          <m:t>+</m:t>
                        </m:r>
                        <m:r>
                          <a:rPr lang="nb-NO" sz="1100" b="0" i="1">
                            <a:latin typeface="Cambria Math" panose="02040503050406030204" pitchFamily="18" charset="0"/>
                          </a:rPr>
                          <m:t>𝐹𝑃</m:t>
                        </m:r>
                        <m:r>
                          <a:rPr lang="nb-NO" sz="1100" b="0" i="1">
                            <a:latin typeface="Cambria Math" panose="02040503050406030204" pitchFamily="18" charset="0"/>
                          </a:rPr>
                          <m:t>+</m:t>
                        </m:r>
                        <m:r>
                          <a:rPr lang="nb-NO" sz="1100" b="0" i="1">
                            <a:latin typeface="Cambria Math" panose="02040503050406030204" pitchFamily="18" charset="0"/>
                          </a:rPr>
                          <m:t>𝐹𝑁</m:t>
                        </m:r>
                      </m:den>
                    </m:f>
                  </m:oMath>
                </m:oMathPara>
              </a14:m>
              <a:endParaRPr lang="nb-NO" sz="1100" b="0"/>
            </a:p>
            <a:p>
              <a:endParaRPr lang="nb-NO" sz="1100"/>
            </a:p>
          </xdr:txBody>
        </xdr:sp>
      </mc:Choice>
      <mc:Fallback xmlns="">
        <xdr:sp macro="" textlink="">
          <xdr:nvSpPr>
            <xdr:cNvPr id="7" name="TextBox 6">
              <a:extLst>
                <a:ext uri="{FF2B5EF4-FFF2-40B4-BE49-F238E27FC236}">
                  <a16:creationId xmlns:a16="http://schemas.microsoft.com/office/drawing/2014/main" id="{CFF45121-65E2-4D20-A3C8-BDCD27C8C33F}"/>
                </a:ext>
              </a:extLst>
            </xdr:cNvPr>
            <xdr:cNvSpPr txBox="1"/>
          </xdr:nvSpPr>
          <xdr:spPr>
            <a:xfrm>
              <a:off x="1285875" y="12068175"/>
              <a:ext cx="1271823" cy="491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nb-NO" sz="1100" b="0" i="0">
                  <a:latin typeface="Cambria Math" panose="02040503050406030204" pitchFamily="18" charset="0"/>
                </a:rPr>
                <a:t>(𝑇𝑃+𝑇𝑁)/(𝑇𝑃+𝑇𝑁+𝐹𝑃+𝐹𝑁)</a:t>
              </a:r>
              <a:endParaRPr lang="nb-NO" sz="1100" b="0"/>
            </a:p>
            <a:p>
              <a:endParaRPr lang="nb-NO"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9525</xdr:colOff>
      <xdr:row>99</xdr:row>
      <xdr:rowOff>0</xdr:rowOff>
    </xdr:from>
    <xdr:to>
      <xdr:col>8</xdr:col>
      <xdr:colOff>134374</xdr:colOff>
      <xdr:row>102</xdr:row>
      <xdr:rowOff>104869</xdr:rowOff>
    </xdr:to>
    <xdr:pic>
      <xdr:nvPicPr>
        <xdr:cNvPr id="2" name="Picture 1">
          <a:extLst>
            <a:ext uri="{FF2B5EF4-FFF2-40B4-BE49-F238E27FC236}">
              <a16:creationId xmlns:a16="http://schemas.microsoft.com/office/drawing/2014/main" id="{A7E6EB46-9E3C-FD5F-A2A5-6ECA0B9AC746}"/>
            </a:ext>
          </a:extLst>
        </xdr:cNvPr>
        <xdr:cNvPicPr>
          <a:picLocks noChangeAspect="1"/>
        </xdr:cNvPicPr>
      </xdr:nvPicPr>
      <xdr:blipFill>
        <a:blip xmlns:r="http://schemas.openxmlformats.org/officeDocument/2006/relationships" r:embed="rId1"/>
        <a:stretch>
          <a:fillRect/>
        </a:stretch>
      </xdr:blipFill>
      <xdr:spPr>
        <a:xfrm>
          <a:off x="9525" y="6477000"/>
          <a:ext cx="7335274" cy="67636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251460</xdr:colOff>
      <xdr:row>0</xdr:row>
      <xdr:rowOff>175260</xdr:rowOff>
    </xdr:from>
    <xdr:to>
      <xdr:col>9</xdr:col>
      <xdr:colOff>251460</xdr:colOff>
      <xdr:row>10</xdr:row>
      <xdr:rowOff>175260</xdr:rowOff>
    </xdr:to>
    <xdr:graphicFrame macro="">
      <xdr:nvGraphicFramePr>
        <xdr:cNvPr id="2" name="Chart 1">
          <a:extLst>
            <a:ext uri="{FF2B5EF4-FFF2-40B4-BE49-F238E27FC236}">
              <a16:creationId xmlns:a16="http://schemas.microsoft.com/office/drawing/2014/main" id="{0360A26D-09B6-AD24-614D-85C5BCC13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251460</xdr:colOff>
      <xdr:row>0</xdr:row>
      <xdr:rowOff>175260</xdr:rowOff>
    </xdr:from>
    <xdr:to>
      <xdr:col>9</xdr:col>
      <xdr:colOff>251460</xdr:colOff>
      <xdr:row>10</xdr:row>
      <xdr:rowOff>175260</xdr:rowOff>
    </xdr:to>
    <xdr:graphicFrame macro="">
      <xdr:nvGraphicFramePr>
        <xdr:cNvPr id="2" name="Chart 1">
          <a:extLst>
            <a:ext uri="{FF2B5EF4-FFF2-40B4-BE49-F238E27FC236}">
              <a16:creationId xmlns:a16="http://schemas.microsoft.com/office/drawing/2014/main" id="{0C2D4565-AC56-0FAE-628F-3A39056E1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251460</xdr:colOff>
      <xdr:row>0</xdr:row>
      <xdr:rowOff>175260</xdr:rowOff>
    </xdr:from>
    <xdr:to>
      <xdr:col>9</xdr:col>
      <xdr:colOff>251460</xdr:colOff>
      <xdr:row>10</xdr:row>
      <xdr:rowOff>175260</xdr:rowOff>
    </xdr:to>
    <xdr:graphicFrame macro="">
      <xdr:nvGraphicFramePr>
        <xdr:cNvPr id="2" name="Chart 1">
          <a:extLst>
            <a:ext uri="{FF2B5EF4-FFF2-40B4-BE49-F238E27FC236}">
              <a16:creationId xmlns:a16="http://schemas.microsoft.com/office/drawing/2014/main" id="{63C3BEFA-2325-7734-17E3-7FD42F14F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xdr:col>
      <xdr:colOff>251460</xdr:colOff>
      <xdr:row>0</xdr:row>
      <xdr:rowOff>175260</xdr:rowOff>
    </xdr:from>
    <xdr:to>
      <xdr:col>9</xdr:col>
      <xdr:colOff>251460</xdr:colOff>
      <xdr:row>10</xdr:row>
      <xdr:rowOff>175260</xdr:rowOff>
    </xdr:to>
    <xdr:graphicFrame macro="">
      <xdr:nvGraphicFramePr>
        <xdr:cNvPr id="2" name="Chart 1">
          <a:extLst>
            <a:ext uri="{FF2B5EF4-FFF2-40B4-BE49-F238E27FC236}">
              <a16:creationId xmlns:a16="http://schemas.microsoft.com/office/drawing/2014/main" id="{269248A0-5701-128D-8203-DDA1B963D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s Christian Aanestad" refreshedDate="45544.38488622685" createdVersion="8" refreshedVersion="8" minRefreshableVersion="3" recordCount="472" xr:uid="{D2680F3A-DFB6-4445-869A-9CCBDAF2DF6F}">
  <cacheSource type="worksheet">
    <worksheetSource ref="A6:H478" sheet="Task4"/>
  </cacheSource>
  <cacheFields count="8">
    <cacheField name="Cust ID" numFmtId="0">
      <sharedItems containsSemiMixedTypes="0" containsString="0" containsNumber="1" containsInteger="1" minValue="10001" maxValue="10472"/>
    </cacheField>
    <cacheField name="Region" numFmtId="0">
      <sharedItems count="4">
        <s v="East"/>
        <s v="West"/>
        <s v="North"/>
        <s v="South"/>
      </sharedItems>
    </cacheField>
    <cacheField name="Payment " numFmtId="0">
      <sharedItems/>
    </cacheField>
    <cacheField name="Transaction Code" numFmtId="0">
      <sharedItems containsSemiMixedTypes="0" containsString="0" containsNumber="1" containsInteger="1" minValue="10325805" maxValue="99830378"/>
    </cacheField>
    <cacheField name="Source" numFmtId="0">
      <sharedItems/>
    </cacheField>
    <cacheField name="Amount" numFmtId="0">
      <sharedItems containsSemiMixedTypes="0" containsString="0" containsNumber="1" minValue="15.08" maxValue="247.14"/>
    </cacheField>
    <cacheField name="Product" numFmtId="0">
      <sharedItems count="2">
        <s v="DVD"/>
        <s v="Book"/>
      </sharedItems>
    </cacheField>
    <cacheField name="Time Of Day" numFmtId="20">
      <sharedItems containsSemiMixedTypes="0" containsNonDate="0" containsDate="1" containsString="0" minDate="1899-12-30T00:00:00" maxDate="1899-12-30T22:55: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s Christian Aanestad" refreshedDate="45544.473402083335" createdVersion="8" refreshedVersion="8" minRefreshableVersion="3" recordCount="52" xr:uid="{807F315F-EEE2-4AFE-BEFA-4A0E9F3F33F3}">
  <cacheSource type="worksheet">
    <worksheetSource ref="A6:G58" sheet="Task7"/>
  </cacheSource>
  <cacheFields count="7">
    <cacheField name="Gender" numFmtId="0">
      <sharedItems count="2">
        <s v="M"/>
        <s v="F"/>
      </sharedItems>
    </cacheField>
    <cacheField name="Carrier" numFmtId="0">
      <sharedItems count="5">
        <s v="AT&amp;T"/>
        <s v="Other"/>
        <s v="Sprint"/>
        <s v="Verizon"/>
        <s v="T-mobile"/>
      </sharedItems>
    </cacheField>
    <cacheField name="Type" numFmtId="0">
      <sharedItems/>
    </cacheField>
    <cacheField name="Usage" numFmtId="0">
      <sharedItems count="4">
        <s v="High"/>
        <s v="Average"/>
        <s v="Very high"/>
        <s v="Low"/>
      </sharedItems>
    </cacheField>
    <cacheField name="Signal strength" numFmtId="0">
      <sharedItems containsSemiMixedTypes="0" containsString="0" containsNumber="1" containsInteger="1" minValue="1" maxValue="5" count="5">
        <n v="5"/>
        <n v="4"/>
        <n v="2"/>
        <n v="3"/>
        <n v="1"/>
      </sharedItems>
    </cacheField>
    <cacheField name="Value for the Dollar" numFmtId="0">
      <sharedItems containsSemiMixedTypes="0" containsString="0" containsNumber="1" containsInteger="1" minValue="1" maxValue="5"/>
    </cacheField>
    <cacheField name="Customer Service"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
  <r>
    <n v="10001"/>
    <x v="0"/>
    <s v="Paypal"/>
    <n v="93816545"/>
    <s v="Web"/>
    <n v="20.190000000000001"/>
    <x v="0"/>
    <d v="1899-12-30T22:19:00"/>
  </r>
  <r>
    <n v="10002"/>
    <x v="1"/>
    <s v="Credit"/>
    <n v="74083490"/>
    <s v="Web"/>
    <n v="17.850000000000001"/>
    <x v="0"/>
    <d v="1899-12-30T13:27:00"/>
  </r>
  <r>
    <n v="10003"/>
    <x v="2"/>
    <s v="Credit"/>
    <n v="64942368"/>
    <s v="Web"/>
    <n v="23.98"/>
    <x v="0"/>
    <d v="1899-12-30T14:27:00"/>
  </r>
  <r>
    <n v="10004"/>
    <x v="1"/>
    <s v="Paypal"/>
    <n v="70560957"/>
    <s v="Email"/>
    <n v="23.51"/>
    <x v="1"/>
    <d v="1899-12-30T15:38:00"/>
  </r>
  <r>
    <n v="10005"/>
    <x v="3"/>
    <s v="Credit"/>
    <n v="35208817"/>
    <s v="Web"/>
    <n v="15.33"/>
    <x v="1"/>
    <d v="1899-12-30T15:21:00"/>
  </r>
  <r>
    <n v="10006"/>
    <x v="1"/>
    <s v="Paypal"/>
    <n v="20978903"/>
    <s v="Email"/>
    <n v="17.3"/>
    <x v="0"/>
    <d v="1899-12-30T13:11:00"/>
  </r>
  <r>
    <n v="10007"/>
    <x v="0"/>
    <s v="Credit"/>
    <n v="80103311"/>
    <s v="Web"/>
    <n v="177.72"/>
    <x v="1"/>
    <d v="1899-12-30T21:59:00"/>
  </r>
  <r>
    <n v="10008"/>
    <x v="1"/>
    <s v="Credit"/>
    <n v="14132683"/>
    <s v="Web"/>
    <n v="21.76"/>
    <x v="1"/>
    <d v="1899-12-30T04:04:00"/>
  </r>
  <r>
    <n v="10009"/>
    <x v="1"/>
    <s v="Paypal"/>
    <n v="40128225"/>
    <s v="Web"/>
    <n v="15.92"/>
    <x v="0"/>
    <d v="1899-12-30T19:35:00"/>
  </r>
  <r>
    <n v="10010"/>
    <x v="3"/>
    <s v="Paypal"/>
    <n v="49073721"/>
    <s v="Web"/>
    <n v="23.39"/>
    <x v="0"/>
    <d v="1899-12-30T13:26:00"/>
  </r>
  <r>
    <n v="10011"/>
    <x v="3"/>
    <s v="Paypal"/>
    <n v="57398827"/>
    <s v="Email"/>
    <n v="24.45"/>
    <x v="1"/>
    <d v="1899-12-30T14:17:00"/>
  </r>
  <r>
    <n v="10012"/>
    <x v="0"/>
    <s v="Credit"/>
    <n v="34400661"/>
    <s v="Web"/>
    <n v="20.39"/>
    <x v="1"/>
    <d v="1899-12-30T01:01:00"/>
  </r>
  <r>
    <n v="10013"/>
    <x v="2"/>
    <s v="Paypal"/>
    <n v="54242587"/>
    <s v="Web"/>
    <n v="19.54"/>
    <x v="0"/>
    <d v="1899-12-30T10:04:00"/>
  </r>
  <r>
    <n v="10014"/>
    <x v="0"/>
    <s v="Credit"/>
    <n v="62597750"/>
    <s v="Web"/>
    <n v="151.66999999999999"/>
    <x v="1"/>
    <d v="1899-12-30T09:09:00"/>
  </r>
  <r>
    <n v="10015"/>
    <x v="1"/>
    <s v="Credit"/>
    <n v="51555882"/>
    <s v="Web"/>
    <n v="21.01"/>
    <x v="0"/>
    <d v="1899-12-30T05:05:00"/>
  </r>
  <r>
    <n v="10016"/>
    <x v="1"/>
    <s v="Paypal"/>
    <n v="54332964"/>
    <s v="Web"/>
    <n v="22.91"/>
    <x v="0"/>
    <d v="1899-12-30T20:29:00"/>
  </r>
  <r>
    <n v="10017"/>
    <x v="1"/>
    <s v="Credit"/>
    <n v="26623353"/>
    <s v="Email"/>
    <n v="19.510000000000002"/>
    <x v="1"/>
    <d v="1899-12-30T15:03:00"/>
  </r>
  <r>
    <n v="10018"/>
    <x v="1"/>
    <s v="Paypal"/>
    <n v="78594431"/>
    <s v="Web"/>
    <n v="20.16"/>
    <x v="1"/>
    <d v="1899-12-30T18:54:00"/>
  </r>
  <r>
    <n v="10019"/>
    <x v="1"/>
    <s v="Credit"/>
    <n v="89385348"/>
    <s v="Web"/>
    <n v="17.53"/>
    <x v="0"/>
    <d v="1899-12-30T20:00:00"/>
  </r>
  <r>
    <n v="10020"/>
    <x v="1"/>
    <s v="Credit"/>
    <n v="69868417"/>
    <s v="Web"/>
    <n v="17.739999999999998"/>
    <x v="0"/>
    <d v="1899-12-30T12:37:00"/>
  </r>
  <r>
    <n v="10021"/>
    <x v="2"/>
    <s v="Paypal"/>
    <n v="59660276"/>
    <s v="Email"/>
    <n v="17.16"/>
    <x v="1"/>
    <d v="1899-12-30T05:05:00"/>
  </r>
  <r>
    <n v="10022"/>
    <x v="1"/>
    <s v="Credit"/>
    <n v="25456590"/>
    <s v="Web"/>
    <n v="205.58"/>
    <x v="1"/>
    <d v="1899-12-30T20:42:00"/>
  </r>
  <r>
    <n v="10023"/>
    <x v="3"/>
    <s v="Credit"/>
    <n v="93283893"/>
    <s v="Email"/>
    <n v="18.12"/>
    <x v="1"/>
    <d v="1899-12-30T10:12:00"/>
  </r>
  <r>
    <n v="10024"/>
    <x v="1"/>
    <s v="Credit"/>
    <n v="45991123"/>
    <s v="Web"/>
    <n v="20.04"/>
    <x v="0"/>
    <d v="1899-12-30T16:27:00"/>
  </r>
  <r>
    <n v="10025"/>
    <x v="1"/>
    <s v="Paypal"/>
    <n v="79121745"/>
    <s v="Email"/>
    <n v="23.21"/>
    <x v="0"/>
    <d v="1899-12-30T20:22:00"/>
  </r>
  <r>
    <n v="10026"/>
    <x v="1"/>
    <s v="Credit"/>
    <n v="80685117"/>
    <s v="Email"/>
    <n v="22.79"/>
    <x v="0"/>
    <d v="1899-12-30T19:58:00"/>
  </r>
  <r>
    <n v="10027"/>
    <x v="1"/>
    <s v="Credit"/>
    <n v="56686474"/>
    <s v="Web"/>
    <n v="16.91"/>
    <x v="0"/>
    <d v="1899-12-30T19:44:00"/>
  </r>
  <r>
    <n v="10028"/>
    <x v="3"/>
    <s v="Credit"/>
    <n v="25270813"/>
    <s v="Web"/>
    <n v="20.22"/>
    <x v="1"/>
    <d v="1899-12-30T19:28:00"/>
  </r>
  <r>
    <n v="10029"/>
    <x v="0"/>
    <s v="Paypal"/>
    <n v="59736137"/>
    <s v="Web"/>
    <n v="18.36"/>
    <x v="0"/>
    <d v="1899-12-30T15:48:00"/>
  </r>
  <r>
    <n v="10030"/>
    <x v="1"/>
    <s v="Paypal"/>
    <n v="79615191"/>
    <s v="Email"/>
    <n v="206.8"/>
    <x v="1"/>
    <d v="1899-12-30T18:14:00"/>
  </r>
  <r>
    <n v="10031"/>
    <x v="2"/>
    <s v="Paypal"/>
    <n v="55365094"/>
    <s v="Email"/>
    <n v="17.95"/>
    <x v="0"/>
    <d v="1899-12-30T15:15:00"/>
  </r>
  <r>
    <n v="10032"/>
    <x v="0"/>
    <s v="Credit"/>
    <n v="79118930"/>
    <s v="Web"/>
    <n v="18.29"/>
    <x v="1"/>
    <d v="1899-12-30T12:59:00"/>
  </r>
  <r>
    <n v="10033"/>
    <x v="3"/>
    <s v="Paypal"/>
    <n v="84470584"/>
    <s v="Web"/>
    <n v="18.55"/>
    <x v="1"/>
    <d v="1899-12-30T17:38:00"/>
  </r>
  <r>
    <n v="10034"/>
    <x v="1"/>
    <s v="Credit"/>
    <n v="71097636"/>
    <s v="Web"/>
    <n v="18.82"/>
    <x v="1"/>
    <d v="1899-12-30T02:02:00"/>
  </r>
  <r>
    <n v="10035"/>
    <x v="1"/>
    <s v="Credit"/>
    <n v="73290219"/>
    <s v="Web"/>
    <n v="16.350000000000001"/>
    <x v="1"/>
    <d v="1899-12-30T14:05:00"/>
  </r>
  <r>
    <n v="10036"/>
    <x v="0"/>
    <s v="Credit"/>
    <n v="92093991"/>
    <s v="Web"/>
    <n v="16.3"/>
    <x v="0"/>
    <d v="1899-12-30T04:04:00"/>
  </r>
  <r>
    <n v="10037"/>
    <x v="3"/>
    <s v="Paypal"/>
    <n v="11165609"/>
    <s v="Web"/>
    <n v="217"/>
    <x v="1"/>
    <d v="1899-12-30T00:00:00"/>
  </r>
  <r>
    <n v="10038"/>
    <x v="0"/>
    <s v="Credit"/>
    <n v="79944825"/>
    <s v="Web"/>
    <n v="16.149999999999999"/>
    <x v="0"/>
    <d v="1899-12-30T10:28:00"/>
  </r>
  <r>
    <n v="10039"/>
    <x v="2"/>
    <s v="Credit"/>
    <n v="59537977"/>
    <s v="Web"/>
    <n v="18.78"/>
    <x v="0"/>
    <d v="1899-12-30T05:05:00"/>
  </r>
  <r>
    <n v="10040"/>
    <x v="3"/>
    <s v="Credit"/>
    <n v="37870882"/>
    <s v="Web"/>
    <n v="150.99"/>
    <x v="1"/>
    <d v="1899-12-30T07:07:00"/>
  </r>
  <r>
    <n v="10041"/>
    <x v="1"/>
    <s v="Credit"/>
    <n v="59747081"/>
    <s v="Web"/>
    <n v="21.39"/>
    <x v="0"/>
    <d v="1899-12-30T19:20:00"/>
  </r>
  <r>
    <n v="10042"/>
    <x v="1"/>
    <s v="Credit"/>
    <n v="33511221"/>
    <s v="Web"/>
    <n v="16.600000000000001"/>
    <x v="0"/>
    <d v="1899-12-30T16:23:00"/>
  </r>
  <r>
    <n v="10043"/>
    <x v="3"/>
    <s v="Paypal"/>
    <n v="69676186"/>
    <s v="Web"/>
    <n v="23.81"/>
    <x v="1"/>
    <d v="1899-12-30T07:07:00"/>
  </r>
  <r>
    <n v="10044"/>
    <x v="3"/>
    <s v="Credit"/>
    <n v="72150231"/>
    <s v="Web"/>
    <n v="15.87"/>
    <x v="1"/>
    <d v="1899-12-30T13:46:00"/>
  </r>
  <r>
    <n v="10045"/>
    <x v="1"/>
    <s v="Credit"/>
    <n v="64874923"/>
    <s v="Web"/>
    <n v="20.82"/>
    <x v="0"/>
    <d v="1899-12-30T09:09:00"/>
  </r>
  <r>
    <n v="10046"/>
    <x v="3"/>
    <s v="Credit"/>
    <n v="79755506"/>
    <s v="Web"/>
    <n v="21.15"/>
    <x v="1"/>
    <d v="1899-12-30T06:06:00"/>
  </r>
  <r>
    <n v="10047"/>
    <x v="3"/>
    <s v="Paypal"/>
    <n v="43322747"/>
    <s v="Web"/>
    <n v="19.66"/>
    <x v="0"/>
    <d v="1899-12-30T18:50:00"/>
  </r>
  <r>
    <n v="10048"/>
    <x v="1"/>
    <s v="Paypal"/>
    <n v="57979095"/>
    <s v="Email"/>
    <n v="21.02"/>
    <x v="0"/>
    <d v="1899-12-30T03:03:00"/>
  </r>
  <r>
    <n v="10049"/>
    <x v="1"/>
    <s v="Credit"/>
    <n v="96485037"/>
    <s v="Web"/>
    <n v="23.13"/>
    <x v="0"/>
    <d v="1899-12-30T06:06:00"/>
  </r>
  <r>
    <n v="10050"/>
    <x v="1"/>
    <s v="Paypal"/>
    <n v="85636284"/>
    <s v="Web"/>
    <n v="15.17"/>
    <x v="0"/>
    <d v="1899-12-30T18:53:00"/>
  </r>
  <r>
    <n v="10051"/>
    <x v="0"/>
    <s v="Paypal"/>
    <n v="42519148"/>
    <s v="Web"/>
    <n v="209.51"/>
    <x v="1"/>
    <d v="1899-12-30T09:09:00"/>
  </r>
  <r>
    <n v="10052"/>
    <x v="1"/>
    <s v="Credit"/>
    <n v="59845178"/>
    <s v="Web"/>
    <n v="16.03"/>
    <x v="1"/>
    <d v="1899-12-30T17:28:00"/>
  </r>
  <r>
    <n v="10053"/>
    <x v="2"/>
    <s v="Credit"/>
    <n v="47961093"/>
    <s v="Email"/>
    <n v="16.170000000000002"/>
    <x v="0"/>
    <d v="1899-12-30T13:18:00"/>
  </r>
  <r>
    <n v="10054"/>
    <x v="0"/>
    <s v="Credit"/>
    <n v="32857450"/>
    <s v="Web"/>
    <n v="18.37"/>
    <x v="0"/>
    <d v="1899-12-30T08:08:00"/>
  </r>
  <r>
    <n v="10055"/>
    <x v="0"/>
    <s v="Credit"/>
    <n v="23437096"/>
    <s v="Web"/>
    <n v="15.96"/>
    <x v="1"/>
    <d v="1899-12-30T08:08:00"/>
  </r>
  <r>
    <n v="10056"/>
    <x v="2"/>
    <s v="Paypal"/>
    <n v="23846199"/>
    <s v="Web"/>
    <n v="19.29"/>
    <x v="1"/>
    <d v="1899-12-30T00:00:00"/>
  </r>
  <r>
    <n v="10057"/>
    <x v="1"/>
    <s v="Paypal"/>
    <n v="15630914"/>
    <s v="Email"/>
    <n v="16.489999999999998"/>
    <x v="0"/>
    <d v="1899-12-30T19:59:00"/>
  </r>
  <r>
    <n v="10058"/>
    <x v="0"/>
    <s v="Paypal"/>
    <n v="64471213"/>
    <s v="Web"/>
    <n v="18.12"/>
    <x v="1"/>
    <d v="1899-12-30T17:35:00"/>
  </r>
  <r>
    <n v="10059"/>
    <x v="0"/>
    <s v="Credit"/>
    <n v="70288635"/>
    <s v="Web"/>
    <n v="18.22"/>
    <x v="0"/>
    <d v="1899-12-30T15:52:00"/>
  </r>
  <r>
    <n v="10060"/>
    <x v="0"/>
    <s v="Credit"/>
    <n v="46067931"/>
    <s v="Web"/>
    <n v="18.32"/>
    <x v="1"/>
    <d v="1899-12-30T10:15:00"/>
  </r>
  <r>
    <n v="10061"/>
    <x v="1"/>
    <s v="Credit"/>
    <n v="73400603"/>
    <s v="Web"/>
    <n v="23.77"/>
    <x v="0"/>
    <d v="1899-12-30T19:53:00"/>
  </r>
  <r>
    <n v="10062"/>
    <x v="0"/>
    <s v="Paypal"/>
    <n v="31794035"/>
    <s v="Web"/>
    <n v="24.35"/>
    <x v="1"/>
    <d v="1899-12-30T15:16:00"/>
  </r>
  <r>
    <n v="10063"/>
    <x v="3"/>
    <s v="Credit"/>
    <n v="72954240"/>
    <s v="Email"/>
    <n v="20.13"/>
    <x v="0"/>
    <d v="1899-12-30T13:55:00"/>
  </r>
  <r>
    <n v="10064"/>
    <x v="2"/>
    <s v="Credit"/>
    <n v="12364851"/>
    <s v="Email"/>
    <n v="20.77"/>
    <x v="0"/>
    <d v="1899-12-30T13:34:00"/>
  </r>
  <r>
    <n v="10065"/>
    <x v="2"/>
    <s v="Credit"/>
    <n v="19974213"/>
    <s v="Email"/>
    <n v="16.98"/>
    <x v="0"/>
    <d v="1899-12-30T19:21:00"/>
  </r>
  <r>
    <n v="10066"/>
    <x v="0"/>
    <s v="Credit"/>
    <n v="68753569"/>
    <s v="Email"/>
    <n v="19.399999999999999"/>
    <x v="1"/>
    <d v="1899-12-30T15:02:00"/>
  </r>
  <r>
    <n v="10067"/>
    <x v="0"/>
    <s v="Paypal"/>
    <n v="77232784"/>
    <s v="Email"/>
    <n v="23.49"/>
    <x v="1"/>
    <d v="1899-12-30T04:04:00"/>
  </r>
  <r>
    <n v="10068"/>
    <x v="3"/>
    <s v="Credit"/>
    <n v="94731015"/>
    <s v="Web"/>
    <n v="15.58"/>
    <x v="1"/>
    <d v="1899-12-30T11:39:00"/>
  </r>
  <r>
    <n v="10069"/>
    <x v="3"/>
    <s v="Credit"/>
    <n v="49007475"/>
    <s v="Web"/>
    <n v="21.94"/>
    <x v="0"/>
    <d v="1899-12-30T20:19:00"/>
  </r>
  <r>
    <n v="10070"/>
    <x v="3"/>
    <s v="Credit"/>
    <n v="71384600"/>
    <s v="Email"/>
    <n v="229.73"/>
    <x v="1"/>
    <d v="1899-12-30T01:01:00"/>
  </r>
  <r>
    <n v="10071"/>
    <x v="1"/>
    <s v="Credit"/>
    <n v="15282110"/>
    <s v="Web"/>
    <n v="16.059999999999999"/>
    <x v="1"/>
    <d v="1899-12-30T10:31:00"/>
  </r>
  <r>
    <n v="10072"/>
    <x v="3"/>
    <s v="Credit"/>
    <n v="87012305"/>
    <s v="Web"/>
    <n v="22.21"/>
    <x v="0"/>
    <d v="1899-12-30T10:01:00"/>
  </r>
  <r>
    <n v="10073"/>
    <x v="1"/>
    <s v="Credit"/>
    <n v="27742544"/>
    <s v="Email"/>
    <n v="21.58"/>
    <x v="0"/>
    <d v="1899-12-30T00:00:00"/>
  </r>
  <r>
    <n v="10074"/>
    <x v="2"/>
    <s v="Paypal"/>
    <n v="97981670"/>
    <s v="Email"/>
    <n v="16.09"/>
    <x v="1"/>
    <d v="1899-12-30T03:03:00"/>
  </r>
  <r>
    <n v="10075"/>
    <x v="0"/>
    <s v="Credit"/>
    <n v="83670405"/>
    <s v="Email"/>
    <n v="16.100000000000001"/>
    <x v="0"/>
    <d v="1899-12-30T10:13:00"/>
  </r>
  <r>
    <n v="10076"/>
    <x v="0"/>
    <s v="Credit"/>
    <n v="99063530"/>
    <s v="Web"/>
    <n v="15.95"/>
    <x v="0"/>
    <d v="1899-12-30T00:00:00"/>
  </r>
  <r>
    <n v="10077"/>
    <x v="3"/>
    <s v="Credit"/>
    <n v="25978103"/>
    <s v="Email"/>
    <n v="17.77"/>
    <x v="1"/>
    <d v="1899-12-30T01:01:00"/>
  </r>
  <r>
    <n v="10078"/>
    <x v="2"/>
    <s v="Credit"/>
    <n v="81824666"/>
    <s v="Web"/>
    <n v="19.3"/>
    <x v="0"/>
    <d v="1899-12-30T11:24:00"/>
  </r>
  <r>
    <n v="10079"/>
    <x v="1"/>
    <s v="Paypal"/>
    <n v="86833489"/>
    <s v="Web"/>
    <n v="21.75"/>
    <x v="1"/>
    <d v="1899-12-30T10:23:00"/>
  </r>
  <r>
    <n v="10080"/>
    <x v="1"/>
    <s v="Paypal"/>
    <n v="73512800"/>
    <s v="Web"/>
    <n v="20.51"/>
    <x v="1"/>
    <d v="1899-12-30T11:29:00"/>
  </r>
  <r>
    <n v="10081"/>
    <x v="2"/>
    <s v="Credit"/>
    <n v="11673210"/>
    <s v="Web"/>
    <n v="16.14"/>
    <x v="0"/>
    <d v="1899-12-30T04:04:00"/>
  </r>
  <r>
    <n v="10082"/>
    <x v="1"/>
    <s v="Paypal"/>
    <n v="76787805"/>
    <s v="Email"/>
    <n v="157.76"/>
    <x v="1"/>
    <d v="1899-12-30T19:02:00"/>
  </r>
  <r>
    <n v="10083"/>
    <x v="3"/>
    <s v="Credit"/>
    <n v="34610946"/>
    <s v="Web"/>
    <n v="21.55"/>
    <x v="1"/>
    <d v="1899-12-30T09:09:00"/>
  </r>
  <r>
    <n v="10084"/>
    <x v="2"/>
    <s v="Paypal"/>
    <n v="69586073"/>
    <s v="Web"/>
    <n v="21.85"/>
    <x v="0"/>
    <d v="1899-12-30T12:24:00"/>
  </r>
  <r>
    <n v="10085"/>
    <x v="0"/>
    <s v="Credit"/>
    <n v="87017416"/>
    <s v="Web"/>
    <n v="21.7"/>
    <x v="0"/>
    <d v="1899-12-30T13:33:00"/>
  </r>
  <r>
    <n v="10086"/>
    <x v="0"/>
    <s v="Paypal"/>
    <n v="37371293"/>
    <s v="Web"/>
    <n v="20.309999999999999"/>
    <x v="1"/>
    <d v="1899-12-30T19:26:00"/>
  </r>
  <r>
    <n v="10087"/>
    <x v="0"/>
    <s v="Credit"/>
    <n v="27497600"/>
    <s v="Email"/>
    <n v="23.62"/>
    <x v="1"/>
    <d v="1899-12-30T22:20:00"/>
  </r>
  <r>
    <n v="10088"/>
    <x v="0"/>
    <s v="Credit"/>
    <n v="29510284"/>
    <s v="Web"/>
    <n v="216.37"/>
    <x v="1"/>
    <d v="1899-12-30T10:20:00"/>
  </r>
  <r>
    <n v="10089"/>
    <x v="2"/>
    <s v="Paypal"/>
    <n v="40878208"/>
    <s v="Web"/>
    <n v="21.99"/>
    <x v="0"/>
    <d v="1899-12-30T03:03:00"/>
  </r>
  <r>
    <n v="10090"/>
    <x v="1"/>
    <s v="Credit"/>
    <n v="83375454"/>
    <s v="Email"/>
    <n v="18.2"/>
    <x v="0"/>
    <d v="1899-12-30T05:05:00"/>
  </r>
  <r>
    <n v="10091"/>
    <x v="0"/>
    <s v="Credit"/>
    <n v="61236522"/>
    <s v="Email"/>
    <n v="17.309999999999999"/>
    <x v="1"/>
    <d v="1899-12-30T00:00:00"/>
  </r>
  <r>
    <n v="10092"/>
    <x v="1"/>
    <s v="Credit"/>
    <n v="68788857"/>
    <s v="Web"/>
    <n v="23.94"/>
    <x v="1"/>
    <d v="1899-12-30T16:08:00"/>
  </r>
  <r>
    <n v="10093"/>
    <x v="1"/>
    <s v="Paypal"/>
    <n v="58309878"/>
    <s v="Email"/>
    <n v="174.25"/>
    <x v="1"/>
    <d v="1899-12-30T18:31:00"/>
  </r>
  <r>
    <n v="10094"/>
    <x v="1"/>
    <s v="Paypal"/>
    <n v="84324439"/>
    <s v="Web"/>
    <n v="20.260000000000002"/>
    <x v="0"/>
    <d v="1899-12-30T04:04:00"/>
  </r>
  <r>
    <n v="10095"/>
    <x v="2"/>
    <s v="Credit"/>
    <n v="90647889"/>
    <s v="Web"/>
    <n v="18.73"/>
    <x v="0"/>
    <d v="1899-12-30T00:00:00"/>
  </r>
  <r>
    <n v="10096"/>
    <x v="2"/>
    <s v="Paypal"/>
    <n v="31225474"/>
    <s v="Web"/>
    <n v="22.88"/>
    <x v="1"/>
    <d v="1899-12-30T13:09:00"/>
  </r>
  <r>
    <n v="10097"/>
    <x v="1"/>
    <s v="Paypal"/>
    <n v="79286039"/>
    <s v="Web"/>
    <n v="19.149999999999999"/>
    <x v="0"/>
    <d v="1899-12-30T14:44:00"/>
  </r>
  <r>
    <n v="10098"/>
    <x v="3"/>
    <s v="Credit"/>
    <n v="69628094"/>
    <s v="Email"/>
    <n v="15.33"/>
    <x v="1"/>
    <d v="1899-12-30T01:01:00"/>
  </r>
  <r>
    <n v="10099"/>
    <x v="1"/>
    <s v="Paypal"/>
    <n v="19891764"/>
    <s v="Web"/>
    <n v="20.82"/>
    <x v="0"/>
    <d v="1899-12-30T18:01:00"/>
  </r>
  <r>
    <n v="10100"/>
    <x v="1"/>
    <s v="Credit"/>
    <n v="21992857"/>
    <s v="Web"/>
    <n v="20.61"/>
    <x v="0"/>
    <d v="1899-12-30T18:29:00"/>
  </r>
  <r>
    <n v="10101"/>
    <x v="0"/>
    <s v="Credit"/>
    <n v="40572972"/>
    <s v="Web"/>
    <n v="16.43"/>
    <x v="0"/>
    <d v="1899-12-30T11:23:00"/>
  </r>
  <r>
    <n v="10102"/>
    <x v="1"/>
    <s v="Credit"/>
    <n v="80218197"/>
    <s v="Web"/>
    <n v="21.1"/>
    <x v="0"/>
    <d v="1899-12-30T02:02:00"/>
  </r>
  <r>
    <n v="10103"/>
    <x v="2"/>
    <s v="Paypal"/>
    <n v="72072353"/>
    <s v="Email"/>
    <n v="21.64"/>
    <x v="1"/>
    <d v="1899-12-30T22:40:00"/>
  </r>
  <r>
    <n v="10104"/>
    <x v="1"/>
    <s v="Paypal"/>
    <n v="44250706"/>
    <s v="Email"/>
    <n v="18.059999999999999"/>
    <x v="1"/>
    <d v="1899-12-30T16:00:00"/>
  </r>
  <r>
    <n v="10105"/>
    <x v="0"/>
    <s v="Credit"/>
    <n v="31062653"/>
    <s v="Web"/>
    <n v="19.350000000000001"/>
    <x v="1"/>
    <d v="1899-12-30T10:06:00"/>
  </r>
  <r>
    <n v="10106"/>
    <x v="2"/>
    <s v="Credit"/>
    <n v="84047393"/>
    <s v="Web"/>
    <n v="23.7"/>
    <x v="0"/>
    <d v="1899-12-30T19:02:00"/>
  </r>
  <r>
    <n v="10107"/>
    <x v="2"/>
    <s v="Credit"/>
    <n v="59891368"/>
    <s v="Web"/>
    <n v="18.93"/>
    <x v="1"/>
    <d v="1899-12-30T09:09:00"/>
  </r>
  <r>
    <n v="10108"/>
    <x v="2"/>
    <s v="Credit"/>
    <n v="47234209"/>
    <s v="Email"/>
    <n v="16.829999999999998"/>
    <x v="1"/>
    <d v="1899-12-30T16:20:00"/>
  </r>
  <r>
    <n v="10109"/>
    <x v="1"/>
    <s v="Credit"/>
    <n v="47893510"/>
    <s v="Web"/>
    <n v="22.19"/>
    <x v="1"/>
    <d v="1899-12-30T18:52:00"/>
  </r>
  <r>
    <n v="10110"/>
    <x v="1"/>
    <s v="Credit"/>
    <n v="23513829"/>
    <s v="Web"/>
    <n v="23.9"/>
    <x v="1"/>
    <d v="1899-12-30T19:40:00"/>
  </r>
  <r>
    <n v="10111"/>
    <x v="0"/>
    <s v="Credit"/>
    <n v="20993720"/>
    <s v="Web"/>
    <n v="17.47"/>
    <x v="0"/>
    <d v="1899-12-30T10:53:00"/>
  </r>
  <r>
    <n v="10112"/>
    <x v="1"/>
    <s v="Credit"/>
    <n v="58724265"/>
    <s v="Email"/>
    <n v="209.37"/>
    <x v="1"/>
    <d v="1899-12-30T20:11:00"/>
  </r>
  <r>
    <n v="10113"/>
    <x v="2"/>
    <s v="Credit"/>
    <n v="47687764"/>
    <s v="Web"/>
    <n v="18"/>
    <x v="0"/>
    <d v="1899-12-30T08:08:00"/>
  </r>
  <r>
    <n v="10114"/>
    <x v="0"/>
    <s v="Credit"/>
    <n v="53008101"/>
    <s v="Web"/>
    <n v="22.83"/>
    <x v="1"/>
    <d v="1899-12-30T10:17:00"/>
  </r>
  <r>
    <n v="10115"/>
    <x v="0"/>
    <s v="Credit"/>
    <n v="68494188"/>
    <s v="Email"/>
    <n v="20.309999999999999"/>
    <x v="0"/>
    <d v="1899-12-30T14:34:00"/>
  </r>
  <r>
    <n v="10116"/>
    <x v="3"/>
    <s v="Paypal"/>
    <n v="40357817"/>
    <s v="Web"/>
    <n v="22.06"/>
    <x v="0"/>
    <d v="1899-12-30T11:07:00"/>
  </r>
  <r>
    <n v="10117"/>
    <x v="2"/>
    <s v="Paypal"/>
    <n v="91328383"/>
    <s v="Web"/>
    <n v="15.22"/>
    <x v="1"/>
    <d v="1899-12-30T10:39:00"/>
  </r>
  <r>
    <n v="10118"/>
    <x v="3"/>
    <s v="Paypal"/>
    <n v="51497241"/>
    <s v="Web"/>
    <n v="20.6"/>
    <x v="0"/>
    <d v="1899-12-30T20:46:00"/>
  </r>
  <r>
    <n v="10119"/>
    <x v="0"/>
    <s v="Credit"/>
    <n v="42829269"/>
    <s v="Web"/>
    <n v="18.25"/>
    <x v="0"/>
    <d v="1899-12-30T20:42:00"/>
  </r>
  <r>
    <n v="10120"/>
    <x v="0"/>
    <s v="Credit"/>
    <n v="56174714"/>
    <s v="Web"/>
    <n v="174.18"/>
    <x v="1"/>
    <d v="1899-12-30T12:42:00"/>
  </r>
  <r>
    <n v="10121"/>
    <x v="2"/>
    <s v="Credit"/>
    <n v="17210514"/>
    <s v="Email"/>
    <n v="19.579999999999998"/>
    <x v="0"/>
    <d v="1899-12-30T22:31:00"/>
  </r>
  <r>
    <n v="10122"/>
    <x v="1"/>
    <s v="Paypal"/>
    <n v="40504819"/>
    <s v="Web"/>
    <n v="17.91"/>
    <x v="1"/>
    <d v="1899-12-30T19:14:00"/>
  </r>
  <r>
    <n v="10123"/>
    <x v="1"/>
    <s v="Credit"/>
    <n v="58186991"/>
    <s v="Web"/>
    <n v="22.9"/>
    <x v="1"/>
    <d v="1899-12-30T12:16:00"/>
  </r>
  <r>
    <n v="10124"/>
    <x v="2"/>
    <s v="Paypal"/>
    <n v="46376047"/>
    <s v="Web"/>
    <n v="22.26"/>
    <x v="1"/>
    <d v="1899-12-30T17:50:00"/>
  </r>
  <r>
    <n v="10125"/>
    <x v="3"/>
    <s v="Credit"/>
    <n v="95760408"/>
    <s v="Web"/>
    <n v="19.04"/>
    <x v="1"/>
    <d v="1899-12-30T15:23:00"/>
  </r>
  <r>
    <n v="10126"/>
    <x v="0"/>
    <s v="Credit"/>
    <n v="73024614"/>
    <s v="Web"/>
    <n v="17.420000000000002"/>
    <x v="0"/>
    <d v="1899-12-30T05:05:00"/>
  </r>
  <r>
    <n v="10127"/>
    <x v="1"/>
    <s v="Paypal"/>
    <n v="63167563"/>
    <s v="Web"/>
    <n v="18.54"/>
    <x v="1"/>
    <d v="1899-12-30T19:30:00"/>
  </r>
  <r>
    <n v="10128"/>
    <x v="2"/>
    <s v="Credit"/>
    <n v="83800724"/>
    <s v="Web"/>
    <n v="19.739999999999998"/>
    <x v="0"/>
    <d v="1899-12-30T12:49:00"/>
  </r>
  <r>
    <n v="10129"/>
    <x v="1"/>
    <s v="Credit"/>
    <n v="11739665"/>
    <s v="Web"/>
    <n v="22.03"/>
    <x v="0"/>
    <d v="1899-12-30T14:49:00"/>
  </r>
  <r>
    <n v="10130"/>
    <x v="1"/>
    <s v="Paypal"/>
    <n v="74393415"/>
    <s v="Web"/>
    <n v="236.49"/>
    <x v="1"/>
    <d v="1899-12-30T16:24:00"/>
  </r>
  <r>
    <n v="10131"/>
    <x v="3"/>
    <s v="Paypal"/>
    <n v="30372359"/>
    <s v="Email"/>
    <n v="19.3"/>
    <x v="0"/>
    <d v="1899-12-30T17:00:00"/>
  </r>
  <r>
    <n v="10132"/>
    <x v="0"/>
    <s v="Credit"/>
    <n v="47768495"/>
    <s v="Email"/>
    <n v="23.73"/>
    <x v="0"/>
    <d v="1899-12-30T16:57:00"/>
  </r>
  <r>
    <n v="10133"/>
    <x v="1"/>
    <s v="Paypal"/>
    <n v="74154714"/>
    <s v="Web"/>
    <n v="19.96"/>
    <x v="1"/>
    <d v="1899-12-30T16:50:00"/>
  </r>
  <r>
    <n v="10134"/>
    <x v="0"/>
    <s v="Credit"/>
    <n v="33525138"/>
    <s v="Web"/>
    <n v="20.75"/>
    <x v="0"/>
    <d v="1899-12-30T15:02:00"/>
  </r>
  <r>
    <n v="10135"/>
    <x v="3"/>
    <s v="Paypal"/>
    <n v="84542864"/>
    <s v="Web"/>
    <n v="22.37"/>
    <x v="0"/>
    <d v="1899-12-30T08:08:00"/>
  </r>
  <r>
    <n v="10136"/>
    <x v="1"/>
    <s v="Credit"/>
    <n v="24537107"/>
    <s v="Email"/>
    <n v="24.03"/>
    <x v="0"/>
    <d v="1899-12-30T11:14:00"/>
  </r>
  <r>
    <n v="10137"/>
    <x v="1"/>
    <s v="Credit"/>
    <n v="74241899"/>
    <s v="Web"/>
    <n v="24.59"/>
    <x v="0"/>
    <d v="1899-12-30T04:04:00"/>
  </r>
  <r>
    <n v="10138"/>
    <x v="1"/>
    <s v="Paypal"/>
    <n v="33200655"/>
    <s v="Email"/>
    <n v="155.91"/>
    <x v="1"/>
    <d v="1899-12-30T18:38:00"/>
  </r>
  <r>
    <n v="10139"/>
    <x v="0"/>
    <s v="Credit"/>
    <n v="89349547"/>
    <s v="Email"/>
    <n v="16.43"/>
    <x v="1"/>
    <d v="1899-12-30T09:09:00"/>
  </r>
  <r>
    <n v="10140"/>
    <x v="3"/>
    <s v="Paypal"/>
    <n v="83528887"/>
    <s v="Web"/>
    <n v="15.71"/>
    <x v="1"/>
    <d v="1899-12-30T16:44:00"/>
  </r>
  <r>
    <n v="10141"/>
    <x v="1"/>
    <s v="Paypal"/>
    <n v="21113649"/>
    <s v="Web"/>
    <n v="15.19"/>
    <x v="1"/>
    <d v="1899-12-30T16:22:00"/>
  </r>
  <r>
    <n v="10142"/>
    <x v="1"/>
    <s v="Paypal"/>
    <n v="35126822"/>
    <s v="Web"/>
    <n v="21.35"/>
    <x v="0"/>
    <d v="1899-12-30T17:54:00"/>
  </r>
  <r>
    <n v="10143"/>
    <x v="1"/>
    <s v="Credit"/>
    <n v="98692914"/>
    <s v="Web"/>
    <n v="19.47"/>
    <x v="0"/>
    <d v="1899-12-30T18:17:00"/>
  </r>
  <r>
    <n v="10144"/>
    <x v="1"/>
    <s v="Credit"/>
    <n v="96105789"/>
    <s v="Web"/>
    <n v="21.49"/>
    <x v="0"/>
    <d v="1899-12-30T09:09:00"/>
  </r>
  <r>
    <n v="10145"/>
    <x v="0"/>
    <s v="Paypal"/>
    <n v="72991138"/>
    <s v="Web"/>
    <n v="22.2"/>
    <x v="0"/>
    <d v="1899-12-30T12:29:00"/>
  </r>
  <r>
    <n v="10146"/>
    <x v="0"/>
    <s v="Paypal"/>
    <n v="77775458"/>
    <s v="Web"/>
    <n v="21.15"/>
    <x v="0"/>
    <d v="1899-12-30T07:07:00"/>
  </r>
  <r>
    <n v="10147"/>
    <x v="0"/>
    <s v="Credit"/>
    <n v="71420485"/>
    <s v="Web"/>
    <n v="15.16"/>
    <x v="0"/>
    <d v="1899-12-30T11:19:00"/>
  </r>
  <r>
    <n v="10148"/>
    <x v="0"/>
    <s v="Credit"/>
    <n v="55498553"/>
    <s v="Email"/>
    <n v="15.71"/>
    <x v="1"/>
    <d v="1899-12-30T09:09:00"/>
  </r>
  <r>
    <n v="10149"/>
    <x v="1"/>
    <s v="Paypal"/>
    <n v="93904863"/>
    <s v="Web"/>
    <n v="24.65"/>
    <x v="1"/>
    <d v="1899-12-30T20:41:00"/>
  </r>
  <r>
    <n v="10150"/>
    <x v="1"/>
    <s v="Paypal"/>
    <n v="37998977"/>
    <s v="Email"/>
    <n v="24.88"/>
    <x v="1"/>
    <d v="1899-12-30T15:23:00"/>
  </r>
  <r>
    <n v="10151"/>
    <x v="0"/>
    <s v="Paypal"/>
    <n v="24697741"/>
    <s v="Email"/>
    <n v="17.489999999999998"/>
    <x v="1"/>
    <d v="1899-12-30T21:46:00"/>
  </r>
  <r>
    <n v="10152"/>
    <x v="1"/>
    <s v="Credit"/>
    <n v="77906388"/>
    <s v="Web"/>
    <n v="19.71"/>
    <x v="0"/>
    <d v="1899-12-30T07:07:00"/>
  </r>
  <r>
    <n v="10153"/>
    <x v="3"/>
    <s v="Credit"/>
    <n v="79915334"/>
    <s v="Web"/>
    <n v="17.329999999999998"/>
    <x v="1"/>
    <d v="1899-12-30T02:02:00"/>
  </r>
  <r>
    <n v="10154"/>
    <x v="1"/>
    <s v="Credit"/>
    <n v="50624253"/>
    <s v="Web"/>
    <n v="15.56"/>
    <x v="0"/>
    <d v="1899-12-30T21:07:00"/>
  </r>
  <r>
    <n v="10155"/>
    <x v="0"/>
    <s v="Credit"/>
    <n v="32851119"/>
    <s v="Web"/>
    <n v="18.940000000000001"/>
    <x v="0"/>
    <d v="1899-12-30T20:00:00"/>
  </r>
  <r>
    <n v="10156"/>
    <x v="2"/>
    <s v="Credit"/>
    <n v="79812666"/>
    <s v="Web"/>
    <n v="22.86"/>
    <x v="1"/>
    <d v="1899-12-30T16:02:00"/>
  </r>
  <r>
    <n v="10157"/>
    <x v="3"/>
    <s v="Paypal"/>
    <n v="45319579"/>
    <s v="Web"/>
    <n v="15.18"/>
    <x v="1"/>
    <d v="1899-12-30T06:06:00"/>
  </r>
  <r>
    <n v="10158"/>
    <x v="3"/>
    <s v="Credit"/>
    <n v="44466808"/>
    <s v="Web"/>
    <n v="22.46"/>
    <x v="1"/>
    <d v="1899-12-30T17:44:00"/>
  </r>
  <r>
    <n v="10159"/>
    <x v="1"/>
    <s v="Credit"/>
    <n v="26950438"/>
    <s v="Email"/>
    <n v="21.39"/>
    <x v="1"/>
    <d v="1899-12-30T17:17:00"/>
  </r>
  <r>
    <n v="10160"/>
    <x v="3"/>
    <s v="Credit"/>
    <n v="66610830"/>
    <s v="Email"/>
    <n v="22.17"/>
    <x v="0"/>
    <d v="1899-12-30T10:23:00"/>
  </r>
  <r>
    <n v="10161"/>
    <x v="2"/>
    <s v="Paypal"/>
    <n v="45496161"/>
    <s v="Web"/>
    <n v="234.63"/>
    <x v="1"/>
    <d v="1899-12-30T09:09:00"/>
  </r>
  <r>
    <n v="10162"/>
    <x v="2"/>
    <s v="Paypal"/>
    <n v="57085887"/>
    <s v="Web"/>
    <n v="24.97"/>
    <x v="1"/>
    <d v="1899-12-30T22:11:00"/>
  </r>
  <r>
    <n v="10163"/>
    <x v="1"/>
    <s v="Credit"/>
    <n v="86987062"/>
    <s v="Web"/>
    <n v="15.72"/>
    <x v="1"/>
    <d v="1899-12-30T10:53:00"/>
  </r>
  <r>
    <n v="10164"/>
    <x v="0"/>
    <s v="Credit"/>
    <n v="75029194"/>
    <s v="Web"/>
    <n v="24.35"/>
    <x v="1"/>
    <d v="1899-12-30T08:08:00"/>
  </r>
  <r>
    <n v="10165"/>
    <x v="1"/>
    <s v="Paypal"/>
    <n v="16712886"/>
    <s v="Email"/>
    <n v="16.09"/>
    <x v="1"/>
    <d v="1899-12-30T08:08:00"/>
  </r>
  <r>
    <n v="10166"/>
    <x v="1"/>
    <s v="Credit"/>
    <n v="39307303"/>
    <s v="Web"/>
    <n v="23.51"/>
    <x v="1"/>
    <d v="1899-12-30T16:18:00"/>
  </r>
  <r>
    <n v="10167"/>
    <x v="2"/>
    <s v="Paypal"/>
    <n v="41334963"/>
    <s v="Web"/>
    <n v="22.59"/>
    <x v="1"/>
    <d v="1899-12-30T16:51:00"/>
  </r>
  <r>
    <n v="10168"/>
    <x v="0"/>
    <s v="Credit"/>
    <n v="58630343"/>
    <s v="Web"/>
    <n v="15.59"/>
    <x v="0"/>
    <d v="1899-12-30T09:09:00"/>
  </r>
  <r>
    <n v="10169"/>
    <x v="1"/>
    <s v="Credit"/>
    <n v="87184105"/>
    <s v="Web"/>
    <n v="190.81"/>
    <x v="1"/>
    <d v="1899-12-30T21:57:00"/>
  </r>
  <r>
    <n v="10170"/>
    <x v="1"/>
    <s v="Paypal"/>
    <n v="35358631"/>
    <s v="Web"/>
    <n v="21.12"/>
    <x v="1"/>
    <d v="1899-12-30T16:40:00"/>
  </r>
  <r>
    <n v="10171"/>
    <x v="2"/>
    <s v="Credit"/>
    <n v="55749730"/>
    <s v="Web"/>
    <n v="24.6"/>
    <x v="0"/>
    <d v="1899-12-30T20:38:00"/>
  </r>
  <r>
    <n v="10172"/>
    <x v="2"/>
    <s v="Paypal"/>
    <n v="62374456"/>
    <s v="Web"/>
    <n v="21.22"/>
    <x v="0"/>
    <d v="1899-12-30T12:20:00"/>
  </r>
  <r>
    <n v="10173"/>
    <x v="1"/>
    <s v="Credit"/>
    <n v="84556568"/>
    <s v="Web"/>
    <n v="21.78"/>
    <x v="0"/>
    <d v="1899-12-30T07:07:00"/>
  </r>
  <r>
    <n v="10174"/>
    <x v="1"/>
    <s v="Credit"/>
    <n v="57605353"/>
    <s v="Web"/>
    <n v="16.54"/>
    <x v="0"/>
    <d v="1899-12-30T17:52:00"/>
  </r>
  <r>
    <n v="10175"/>
    <x v="0"/>
    <s v="Credit"/>
    <n v="45033697"/>
    <s v="Email"/>
    <n v="177.32"/>
    <x v="1"/>
    <d v="1899-12-30T15:52:00"/>
  </r>
  <r>
    <n v="10176"/>
    <x v="3"/>
    <s v="Credit"/>
    <n v="33917941"/>
    <s v="Web"/>
    <n v="21.5"/>
    <x v="1"/>
    <d v="1899-12-30T10:53:00"/>
  </r>
  <r>
    <n v="10177"/>
    <x v="1"/>
    <s v="Paypal"/>
    <n v="39654675"/>
    <s v="Web"/>
    <n v="24.65"/>
    <x v="0"/>
    <d v="1899-12-30T20:45:00"/>
  </r>
  <r>
    <n v="10178"/>
    <x v="2"/>
    <s v="Paypal"/>
    <n v="47532285"/>
    <s v="Web"/>
    <n v="19.43"/>
    <x v="0"/>
    <d v="1899-12-30T09:09:00"/>
  </r>
  <r>
    <n v="10179"/>
    <x v="1"/>
    <s v="Credit"/>
    <n v="85998809"/>
    <s v="Web"/>
    <n v="21.12"/>
    <x v="0"/>
    <d v="1899-12-30T20:13:00"/>
  </r>
  <r>
    <n v="10180"/>
    <x v="1"/>
    <s v="Credit"/>
    <n v="34960635"/>
    <s v="Web"/>
    <n v="18.100000000000001"/>
    <x v="0"/>
    <d v="1899-12-30T20:32:00"/>
  </r>
  <r>
    <n v="10181"/>
    <x v="0"/>
    <s v="Credit"/>
    <n v="85117076"/>
    <s v="Email"/>
    <n v="24.4"/>
    <x v="1"/>
    <d v="1899-12-30T13:25:00"/>
  </r>
  <r>
    <n v="10182"/>
    <x v="3"/>
    <s v="Credit"/>
    <n v="67865323"/>
    <s v="Web"/>
    <n v="19.37"/>
    <x v="1"/>
    <d v="1899-12-30T21:48:00"/>
  </r>
  <r>
    <n v="10183"/>
    <x v="1"/>
    <s v="Credit"/>
    <n v="55061563"/>
    <s v="Email"/>
    <n v="19.170000000000002"/>
    <x v="0"/>
    <d v="1899-12-30T00:00:00"/>
  </r>
  <r>
    <n v="10184"/>
    <x v="3"/>
    <s v="Credit"/>
    <n v="58022125"/>
    <s v="Email"/>
    <n v="241.77"/>
    <x v="1"/>
    <d v="1899-12-30T09:09:00"/>
  </r>
  <r>
    <n v="10185"/>
    <x v="1"/>
    <s v="Paypal"/>
    <n v="25679000"/>
    <s v="Web"/>
    <n v="19.649999999999999"/>
    <x v="1"/>
    <d v="1899-12-30T20:46:00"/>
  </r>
  <r>
    <n v="10186"/>
    <x v="1"/>
    <s v="Paypal"/>
    <n v="35078468"/>
    <s v="Web"/>
    <n v="19.88"/>
    <x v="1"/>
    <d v="1899-12-30T08:08:00"/>
  </r>
  <r>
    <n v="10187"/>
    <x v="1"/>
    <s v="Paypal"/>
    <n v="75772325"/>
    <s v="Web"/>
    <n v="15.18"/>
    <x v="0"/>
    <d v="1899-12-30T12:30:00"/>
  </r>
  <r>
    <n v="10188"/>
    <x v="1"/>
    <s v="Paypal"/>
    <n v="25433486"/>
    <s v="Web"/>
    <n v="15.08"/>
    <x v="1"/>
    <d v="1899-12-30T12:15:00"/>
  </r>
  <r>
    <n v="10189"/>
    <x v="2"/>
    <s v="Paypal"/>
    <n v="65056232"/>
    <s v="Web"/>
    <n v="23.74"/>
    <x v="1"/>
    <d v="1899-12-30T05:05:00"/>
  </r>
  <r>
    <n v="10190"/>
    <x v="2"/>
    <s v="Credit"/>
    <n v="96077043"/>
    <s v="Web"/>
    <n v="19.440000000000001"/>
    <x v="1"/>
    <d v="1899-12-30T09:09:00"/>
  </r>
  <r>
    <n v="10191"/>
    <x v="3"/>
    <s v="Credit"/>
    <n v="68380003"/>
    <s v="Web"/>
    <n v="17.7"/>
    <x v="0"/>
    <d v="1899-12-30T02:02:00"/>
  </r>
  <r>
    <n v="10192"/>
    <x v="1"/>
    <s v="Credit"/>
    <n v="92733708"/>
    <s v="Web"/>
    <n v="16.989999999999998"/>
    <x v="0"/>
    <d v="1899-12-30T17:34:00"/>
  </r>
  <r>
    <n v="10193"/>
    <x v="0"/>
    <s v="Paypal"/>
    <n v="17547620"/>
    <s v="Email"/>
    <n v="16.13"/>
    <x v="1"/>
    <d v="1899-12-30T13:37:00"/>
  </r>
  <r>
    <n v="10194"/>
    <x v="1"/>
    <s v="Paypal"/>
    <n v="95291830"/>
    <s v="Web"/>
    <n v="24.8"/>
    <x v="0"/>
    <d v="1899-12-30T20:28:00"/>
  </r>
  <r>
    <n v="10195"/>
    <x v="1"/>
    <s v="Paypal"/>
    <n v="49471722"/>
    <s v="Web"/>
    <n v="17.52"/>
    <x v="1"/>
    <d v="1899-12-30T20:35:00"/>
  </r>
  <r>
    <n v="10196"/>
    <x v="2"/>
    <s v="Paypal"/>
    <n v="70336893"/>
    <s v="Web"/>
    <n v="23.63"/>
    <x v="1"/>
    <d v="1899-12-30T19:47:00"/>
  </r>
  <r>
    <n v="10197"/>
    <x v="1"/>
    <s v="Credit"/>
    <n v="44142213"/>
    <s v="Web"/>
    <n v="23.03"/>
    <x v="0"/>
    <d v="1899-12-30T11:27:00"/>
  </r>
  <r>
    <n v="10198"/>
    <x v="1"/>
    <s v="Paypal"/>
    <n v="69832322"/>
    <s v="Web"/>
    <n v="21.03"/>
    <x v="0"/>
    <d v="1899-12-30T19:18:00"/>
  </r>
  <r>
    <n v="10199"/>
    <x v="3"/>
    <s v="Credit"/>
    <n v="54284580"/>
    <s v="Web"/>
    <n v="21.88"/>
    <x v="1"/>
    <d v="1899-12-30T03:03:00"/>
  </r>
  <r>
    <n v="10200"/>
    <x v="3"/>
    <s v="Credit"/>
    <n v="69967343"/>
    <s v="Email"/>
    <n v="24.86"/>
    <x v="1"/>
    <d v="1899-12-30T17:27:00"/>
  </r>
  <r>
    <n v="10201"/>
    <x v="2"/>
    <s v="Credit"/>
    <n v="70932816"/>
    <s v="Email"/>
    <n v="21.43"/>
    <x v="0"/>
    <d v="1899-12-30T07:07:00"/>
  </r>
  <r>
    <n v="10202"/>
    <x v="3"/>
    <s v="Paypal"/>
    <n v="74082072"/>
    <s v="Web"/>
    <n v="16.32"/>
    <x v="0"/>
    <d v="1899-12-30T15:09:00"/>
  </r>
  <r>
    <n v="10203"/>
    <x v="0"/>
    <s v="Credit"/>
    <n v="92299116"/>
    <s v="Web"/>
    <n v="17.2"/>
    <x v="0"/>
    <d v="1899-12-30T00:00:00"/>
  </r>
  <r>
    <n v="10204"/>
    <x v="2"/>
    <s v="Paypal"/>
    <n v="33160396"/>
    <s v="Web"/>
    <n v="17.87"/>
    <x v="0"/>
    <d v="1899-12-30T07:07:00"/>
  </r>
  <r>
    <n v="10205"/>
    <x v="3"/>
    <s v="Credit"/>
    <n v="22141389"/>
    <s v="Web"/>
    <n v="17.27"/>
    <x v="0"/>
    <d v="1899-12-30T07:07:00"/>
  </r>
  <r>
    <n v="10206"/>
    <x v="3"/>
    <s v="Credit"/>
    <n v="43297905"/>
    <s v="Web"/>
    <n v="19.760000000000002"/>
    <x v="1"/>
    <d v="1899-12-30T21:13:00"/>
  </r>
  <r>
    <n v="10207"/>
    <x v="0"/>
    <s v="Paypal"/>
    <n v="72307242"/>
    <s v="Web"/>
    <n v="17.100000000000001"/>
    <x v="1"/>
    <d v="1899-12-30T06:06:00"/>
  </r>
  <r>
    <n v="10208"/>
    <x v="1"/>
    <s v="Credit"/>
    <n v="66131853"/>
    <s v="Email"/>
    <n v="15.66"/>
    <x v="1"/>
    <d v="1899-12-30T11:18:00"/>
  </r>
  <r>
    <n v="10209"/>
    <x v="1"/>
    <s v="Credit"/>
    <n v="71755916"/>
    <s v="Web"/>
    <n v="22.37"/>
    <x v="1"/>
    <d v="1899-12-30T16:21:00"/>
  </r>
  <r>
    <n v="10210"/>
    <x v="0"/>
    <s v="Credit"/>
    <n v="55102089"/>
    <s v="Web"/>
    <n v="15.81"/>
    <x v="0"/>
    <d v="1899-12-30T12:26:00"/>
  </r>
  <r>
    <n v="10211"/>
    <x v="3"/>
    <s v="Credit"/>
    <n v="25266837"/>
    <s v="Web"/>
    <n v="18.75"/>
    <x v="0"/>
    <d v="1899-12-30T02:02:00"/>
  </r>
  <r>
    <n v="10212"/>
    <x v="1"/>
    <s v="Credit"/>
    <n v="17246696"/>
    <s v="Email"/>
    <n v="192.41"/>
    <x v="1"/>
    <d v="1899-12-30T20:23:00"/>
  </r>
  <r>
    <n v="10213"/>
    <x v="3"/>
    <s v="Credit"/>
    <n v="55149876"/>
    <s v="Email"/>
    <n v="242.52"/>
    <x v="1"/>
    <d v="1899-12-30T09:09:00"/>
  </r>
  <r>
    <n v="10214"/>
    <x v="2"/>
    <s v="Credit"/>
    <n v="66024609"/>
    <s v="Web"/>
    <n v="20.399999999999999"/>
    <x v="1"/>
    <d v="1899-12-30T00:00:00"/>
  </r>
  <r>
    <n v="10215"/>
    <x v="0"/>
    <s v="Credit"/>
    <n v="74962881"/>
    <s v="Web"/>
    <n v="24.71"/>
    <x v="0"/>
    <d v="1899-12-30T12:45:00"/>
  </r>
  <r>
    <n v="10216"/>
    <x v="0"/>
    <s v="Credit"/>
    <n v="66903731"/>
    <s v="Web"/>
    <n v="21.49"/>
    <x v="0"/>
    <d v="1899-12-30T08:08:00"/>
  </r>
  <r>
    <n v="10217"/>
    <x v="1"/>
    <s v="Paypal"/>
    <n v="71026884"/>
    <s v="Web"/>
    <n v="22.26"/>
    <x v="0"/>
    <d v="1899-12-30T05:05:00"/>
  </r>
  <r>
    <n v="10218"/>
    <x v="1"/>
    <s v="Credit"/>
    <n v="86140667"/>
    <s v="Web"/>
    <n v="22.39"/>
    <x v="1"/>
    <d v="1899-12-30T16:16:00"/>
  </r>
  <r>
    <n v="10219"/>
    <x v="0"/>
    <s v="Credit"/>
    <n v="97905965"/>
    <s v="Email"/>
    <n v="21.01"/>
    <x v="1"/>
    <d v="1899-12-30T08:08:00"/>
  </r>
  <r>
    <n v="10220"/>
    <x v="1"/>
    <s v="Credit"/>
    <n v="40197352"/>
    <s v="Web"/>
    <n v="226.15"/>
    <x v="1"/>
    <d v="1899-12-30T16:41:00"/>
  </r>
  <r>
    <n v="10221"/>
    <x v="1"/>
    <s v="Paypal"/>
    <n v="43741856"/>
    <s v="Web"/>
    <n v="20.67"/>
    <x v="1"/>
    <d v="1899-12-30T19:27:00"/>
  </r>
  <r>
    <n v="10222"/>
    <x v="1"/>
    <s v="Credit"/>
    <n v="78186031"/>
    <s v="Web"/>
    <n v="21.72"/>
    <x v="0"/>
    <d v="1899-12-30T20:04:00"/>
  </r>
  <r>
    <n v="10223"/>
    <x v="0"/>
    <s v="Credit"/>
    <n v="58045939"/>
    <s v="Email"/>
    <n v="16.34"/>
    <x v="1"/>
    <d v="1899-12-30T17:53:00"/>
  </r>
  <r>
    <n v="10224"/>
    <x v="1"/>
    <s v="Credit"/>
    <n v="16151482"/>
    <s v="Web"/>
    <n v="19.190000000000001"/>
    <x v="1"/>
    <d v="1899-12-30T19:08:00"/>
  </r>
  <r>
    <n v="10225"/>
    <x v="1"/>
    <s v="Credit"/>
    <n v="16578164"/>
    <s v="Email"/>
    <n v="19.21"/>
    <x v="0"/>
    <d v="1899-12-30T02:02:00"/>
  </r>
  <r>
    <n v="10226"/>
    <x v="1"/>
    <s v="Credit"/>
    <n v="96323938"/>
    <s v="Web"/>
    <n v="16.059999999999999"/>
    <x v="1"/>
    <d v="1899-12-30T17:30:00"/>
  </r>
  <r>
    <n v="10227"/>
    <x v="3"/>
    <s v="Paypal"/>
    <n v="77228031"/>
    <s v="Web"/>
    <n v="20.87"/>
    <x v="0"/>
    <d v="1899-12-30T13:41:00"/>
  </r>
  <r>
    <n v="10228"/>
    <x v="1"/>
    <s v="Credit"/>
    <n v="10779898"/>
    <s v="Web"/>
    <n v="15.33"/>
    <x v="0"/>
    <d v="1899-12-30T05:05:00"/>
  </r>
  <r>
    <n v="10229"/>
    <x v="1"/>
    <s v="Credit"/>
    <n v="85174502"/>
    <s v="Web"/>
    <n v="23.58"/>
    <x v="0"/>
    <d v="1899-12-30T02:02:00"/>
  </r>
  <r>
    <n v="10230"/>
    <x v="2"/>
    <s v="Credit"/>
    <n v="73359370"/>
    <s v="Email"/>
    <n v="15.34"/>
    <x v="1"/>
    <d v="1899-12-30T10:08:00"/>
  </r>
  <r>
    <n v="10231"/>
    <x v="2"/>
    <s v="Paypal"/>
    <n v="10400774"/>
    <s v="Web"/>
    <n v="216.2"/>
    <x v="1"/>
    <d v="1899-12-30T10:33:00"/>
  </r>
  <r>
    <n v="10232"/>
    <x v="0"/>
    <s v="Credit"/>
    <n v="69035250"/>
    <s v="Email"/>
    <n v="21.85"/>
    <x v="0"/>
    <d v="1899-12-30T14:28:00"/>
  </r>
  <r>
    <n v="10233"/>
    <x v="1"/>
    <s v="Credit"/>
    <n v="45792515"/>
    <s v="Web"/>
    <n v="23.59"/>
    <x v="1"/>
    <d v="1899-12-30T03:03:00"/>
  </r>
  <r>
    <n v="10234"/>
    <x v="2"/>
    <s v="Paypal"/>
    <n v="28433265"/>
    <s v="Web"/>
    <n v="20.440000000000001"/>
    <x v="1"/>
    <d v="1899-12-30T11:52:00"/>
  </r>
  <r>
    <n v="10235"/>
    <x v="0"/>
    <s v="Credit"/>
    <n v="55311936"/>
    <s v="Web"/>
    <n v="22.05"/>
    <x v="0"/>
    <d v="1899-12-30T08:08:00"/>
  </r>
  <r>
    <n v="10236"/>
    <x v="1"/>
    <s v="Paypal"/>
    <n v="64115201"/>
    <s v="Email"/>
    <n v="20.420000000000002"/>
    <x v="1"/>
    <d v="1899-12-30T00:00:00"/>
  </r>
  <r>
    <n v="10237"/>
    <x v="1"/>
    <s v="Credit"/>
    <n v="66071683"/>
    <s v="Email"/>
    <n v="20.49"/>
    <x v="0"/>
    <d v="1899-12-30T20:10:00"/>
  </r>
  <r>
    <n v="10238"/>
    <x v="1"/>
    <s v="Credit"/>
    <n v="97687340"/>
    <s v="Web"/>
    <n v="161.46"/>
    <x v="1"/>
    <d v="1899-12-30T14:23:00"/>
  </r>
  <r>
    <n v="10239"/>
    <x v="3"/>
    <s v="Paypal"/>
    <n v="41078038"/>
    <s v="Web"/>
    <n v="19.690000000000001"/>
    <x v="0"/>
    <d v="1899-12-30T04:04:00"/>
  </r>
  <r>
    <n v="10240"/>
    <x v="3"/>
    <s v="Paypal"/>
    <n v="55142477"/>
    <s v="Web"/>
    <n v="24.16"/>
    <x v="1"/>
    <d v="1899-12-30T02:02:00"/>
  </r>
  <r>
    <n v="10241"/>
    <x v="0"/>
    <s v="Credit"/>
    <n v="41419462"/>
    <s v="Web"/>
    <n v="22.8"/>
    <x v="0"/>
    <d v="1899-12-30T10:59:00"/>
  </r>
  <r>
    <n v="10242"/>
    <x v="0"/>
    <s v="Paypal"/>
    <n v="39303323"/>
    <s v="Web"/>
    <n v="243.7"/>
    <x v="1"/>
    <d v="1899-12-30T20:26:00"/>
  </r>
  <r>
    <n v="10243"/>
    <x v="1"/>
    <s v="Paypal"/>
    <n v="95949085"/>
    <s v="Web"/>
    <n v="210.38"/>
    <x v="1"/>
    <d v="1899-12-30T12:19:00"/>
  </r>
  <r>
    <n v="10244"/>
    <x v="1"/>
    <s v="Paypal"/>
    <n v="28911817"/>
    <s v="Email"/>
    <n v="161.5"/>
    <x v="1"/>
    <d v="1899-12-30T16:15:00"/>
  </r>
  <r>
    <n v="10245"/>
    <x v="3"/>
    <s v="Credit"/>
    <n v="36561487"/>
    <s v="Email"/>
    <n v="21.92"/>
    <x v="0"/>
    <d v="1899-12-30T06:06:00"/>
  </r>
  <r>
    <n v="10246"/>
    <x v="1"/>
    <s v="Credit"/>
    <n v="71502183"/>
    <s v="Web"/>
    <n v="23.75"/>
    <x v="0"/>
    <d v="1899-12-30T20:34:00"/>
  </r>
  <r>
    <n v="10247"/>
    <x v="1"/>
    <s v="Credit"/>
    <n v="54077093"/>
    <s v="Email"/>
    <n v="23.74"/>
    <x v="0"/>
    <d v="1899-12-30T03:03:00"/>
  </r>
  <r>
    <n v="10248"/>
    <x v="1"/>
    <s v="Paypal"/>
    <n v="92266350"/>
    <s v="Web"/>
    <n v="21.67"/>
    <x v="1"/>
    <d v="1899-12-30T12:41:00"/>
  </r>
  <r>
    <n v="10249"/>
    <x v="1"/>
    <s v="Paypal"/>
    <n v="60490288"/>
    <s v="Email"/>
    <n v="22.04"/>
    <x v="1"/>
    <d v="1899-12-30T03:03:00"/>
  </r>
  <r>
    <n v="10250"/>
    <x v="2"/>
    <s v="Paypal"/>
    <n v="72701137"/>
    <s v="Email"/>
    <n v="17.829999999999998"/>
    <x v="0"/>
    <d v="1899-12-30T12:55:00"/>
  </r>
  <r>
    <n v="10251"/>
    <x v="3"/>
    <s v="Paypal"/>
    <n v="32435141"/>
    <s v="Web"/>
    <n v="23.6"/>
    <x v="1"/>
    <d v="1899-12-30T02:02:00"/>
  </r>
  <r>
    <n v="10252"/>
    <x v="2"/>
    <s v="Credit"/>
    <n v="48330352"/>
    <s v="Web"/>
    <n v="19.899999999999999"/>
    <x v="1"/>
    <d v="1899-12-30T14:04:00"/>
  </r>
  <r>
    <n v="10253"/>
    <x v="0"/>
    <s v="Credit"/>
    <n v="17689891"/>
    <s v="Email"/>
    <n v="209.2"/>
    <x v="1"/>
    <d v="1899-12-30T17:19:00"/>
  </r>
  <r>
    <n v="10254"/>
    <x v="0"/>
    <s v="Credit"/>
    <n v="67182932"/>
    <s v="Email"/>
    <n v="24"/>
    <x v="1"/>
    <d v="1899-12-30T11:52:00"/>
  </r>
  <r>
    <n v="10255"/>
    <x v="1"/>
    <s v="Credit"/>
    <n v="97950489"/>
    <s v="Web"/>
    <n v="17.809999999999999"/>
    <x v="1"/>
    <d v="1899-12-30T12:36:00"/>
  </r>
  <r>
    <n v="10256"/>
    <x v="1"/>
    <s v="Paypal"/>
    <n v="50561229"/>
    <s v="Email"/>
    <n v="24.77"/>
    <x v="0"/>
    <d v="1899-12-30T00:00:00"/>
  </r>
  <r>
    <n v="10257"/>
    <x v="0"/>
    <s v="Credit"/>
    <n v="70759248"/>
    <s v="Web"/>
    <n v="21"/>
    <x v="0"/>
    <d v="1899-12-30T17:14:00"/>
  </r>
  <r>
    <n v="10258"/>
    <x v="2"/>
    <s v="Paypal"/>
    <n v="77616151"/>
    <s v="Web"/>
    <n v="191.43"/>
    <x v="1"/>
    <d v="1899-12-30T16:36:00"/>
  </r>
  <r>
    <n v="10259"/>
    <x v="3"/>
    <s v="Paypal"/>
    <n v="79551499"/>
    <s v="Web"/>
    <n v="24.52"/>
    <x v="0"/>
    <d v="1899-12-30T21:59:00"/>
  </r>
  <r>
    <n v="10260"/>
    <x v="0"/>
    <s v="Credit"/>
    <n v="90656731"/>
    <s v="Web"/>
    <n v="17.34"/>
    <x v="0"/>
    <d v="1899-12-30T08:08:00"/>
  </r>
  <r>
    <n v="10261"/>
    <x v="0"/>
    <s v="Paypal"/>
    <n v="33909737"/>
    <s v="Web"/>
    <n v="17.190000000000001"/>
    <x v="1"/>
    <d v="1899-12-30T03:03:00"/>
  </r>
  <r>
    <n v="10262"/>
    <x v="1"/>
    <s v="Credit"/>
    <n v="63841931"/>
    <s v="Web"/>
    <n v="22.55"/>
    <x v="1"/>
    <d v="1899-12-30T11:43:00"/>
  </r>
  <r>
    <n v="10263"/>
    <x v="3"/>
    <s v="Credit"/>
    <n v="30506370"/>
    <s v="Web"/>
    <n v="15.35"/>
    <x v="0"/>
    <d v="1899-12-30T10:15:00"/>
  </r>
  <r>
    <n v="10264"/>
    <x v="3"/>
    <s v="Credit"/>
    <n v="81572757"/>
    <s v="Web"/>
    <n v="23.2"/>
    <x v="1"/>
    <d v="1899-12-30T15:38:00"/>
  </r>
  <r>
    <n v="10265"/>
    <x v="1"/>
    <s v="Credit"/>
    <n v="70596149"/>
    <s v="Web"/>
    <n v="241.65"/>
    <x v="1"/>
    <d v="1899-12-30T20:39:00"/>
  </r>
  <r>
    <n v="10266"/>
    <x v="1"/>
    <s v="Paypal"/>
    <n v="95125046"/>
    <s v="Email"/>
    <n v="242.4"/>
    <x v="1"/>
    <d v="1899-12-30T17:19:00"/>
  </r>
  <r>
    <n v="10267"/>
    <x v="1"/>
    <s v="Paypal"/>
    <n v="10754185"/>
    <s v="Web"/>
    <n v="23.01"/>
    <x v="0"/>
    <d v="1899-12-30T17:44:00"/>
  </r>
  <r>
    <n v="10268"/>
    <x v="0"/>
    <s v="Credit"/>
    <n v="88506060"/>
    <s v="Email"/>
    <n v="17.22"/>
    <x v="0"/>
    <d v="1899-12-30T01:01:00"/>
  </r>
  <r>
    <n v="10269"/>
    <x v="2"/>
    <s v="Paypal"/>
    <n v="80319080"/>
    <s v="Web"/>
    <n v="15.96"/>
    <x v="0"/>
    <d v="1899-12-30T01:01:00"/>
  </r>
  <r>
    <n v="10270"/>
    <x v="0"/>
    <s v="Credit"/>
    <n v="27016365"/>
    <s v="Web"/>
    <n v="15.45"/>
    <x v="0"/>
    <d v="1899-12-30T09:09:00"/>
  </r>
  <r>
    <n v="10271"/>
    <x v="2"/>
    <s v="Credit"/>
    <n v="80034508"/>
    <s v="Email"/>
    <n v="17.41"/>
    <x v="0"/>
    <d v="1899-12-30T05:05:00"/>
  </r>
  <r>
    <n v="10272"/>
    <x v="0"/>
    <s v="Credit"/>
    <n v="76677689"/>
    <s v="Web"/>
    <n v="21.64"/>
    <x v="1"/>
    <d v="1899-12-30T10:39:00"/>
  </r>
  <r>
    <n v="10273"/>
    <x v="3"/>
    <s v="Credit"/>
    <n v="96855830"/>
    <s v="Web"/>
    <n v="157.86000000000001"/>
    <x v="1"/>
    <d v="1899-12-30T05:05:00"/>
  </r>
  <r>
    <n v="10274"/>
    <x v="1"/>
    <s v="Paypal"/>
    <n v="54775836"/>
    <s v="Web"/>
    <n v="18.170000000000002"/>
    <x v="0"/>
    <d v="1899-12-30T16:09:00"/>
  </r>
  <r>
    <n v="10275"/>
    <x v="1"/>
    <s v="Credit"/>
    <n v="18066842"/>
    <s v="Web"/>
    <n v="18.73"/>
    <x v="1"/>
    <d v="1899-12-30T20:18:00"/>
  </r>
  <r>
    <n v="10276"/>
    <x v="1"/>
    <s v="Paypal"/>
    <n v="28240563"/>
    <s v="Web"/>
    <n v="17.239999999999998"/>
    <x v="1"/>
    <d v="1899-12-30T20:47:00"/>
  </r>
  <r>
    <n v="10277"/>
    <x v="3"/>
    <s v="Credit"/>
    <n v="24796034"/>
    <s v="Web"/>
    <n v="23.91"/>
    <x v="0"/>
    <d v="1899-12-30T13:59:00"/>
  </r>
  <r>
    <n v="10278"/>
    <x v="3"/>
    <s v="Credit"/>
    <n v="60979466"/>
    <s v="Web"/>
    <n v="22.12"/>
    <x v="1"/>
    <d v="1899-12-30T17:31:00"/>
  </r>
  <r>
    <n v="10279"/>
    <x v="1"/>
    <s v="Credit"/>
    <n v="44558261"/>
    <s v="Web"/>
    <n v="15.25"/>
    <x v="0"/>
    <d v="1899-12-30T19:11:00"/>
  </r>
  <r>
    <n v="10280"/>
    <x v="3"/>
    <s v="Credit"/>
    <n v="49683597"/>
    <s v="Web"/>
    <n v="24.77"/>
    <x v="1"/>
    <d v="1899-12-30T00:00:00"/>
  </r>
  <r>
    <n v="10281"/>
    <x v="1"/>
    <s v="Paypal"/>
    <n v="70748780"/>
    <s v="Email"/>
    <n v="20.28"/>
    <x v="1"/>
    <d v="1899-12-30T06:06:00"/>
  </r>
  <r>
    <n v="10282"/>
    <x v="3"/>
    <s v="Paypal"/>
    <n v="80637514"/>
    <s v="Email"/>
    <n v="20.329999999999998"/>
    <x v="0"/>
    <d v="1899-12-30T08:08:00"/>
  </r>
  <r>
    <n v="10283"/>
    <x v="3"/>
    <s v="Credit"/>
    <n v="77963353"/>
    <s v="Web"/>
    <n v="16.899999999999999"/>
    <x v="1"/>
    <d v="1899-12-30T21:41:00"/>
  </r>
  <r>
    <n v="10284"/>
    <x v="3"/>
    <s v="Paypal"/>
    <n v="55003920"/>
    <s v="Web"/>
    <n v="16.47"/>
    <x v="1"/>
    <d v="1899-12-30T16:22:00"/>
  </r>
  <r>
    <n v="10285"/>
    <x v="1"/>
    <s v="Paypal"/>
    <n v="66231568"/>
    <s v="Web"/>
    <n v="21.18"/>
    <x v="1"/>
    <d v="1899-12-30T15:10:00"/>
  </r>
  <r>
    <n v="10286"/>
    <x v="1"/>
    <s v="Credit"/>
    <n v="49290839"/>
    <s v="Web"/>
    <n v="15.86"/>
    <x v="1"/>
    <d v="1899-12-30T18:00:00"/>
  </r>
  <r>
    <n v="10287"/>
    <x v="1"/>
    <s v="Credit"/>
    <n v="65745301"/>
    <s v="Web"/>
    <n v="24.42"/>
    <x v="1"/>
    <d v="1899-12-30T01:01:00"/>
  </r>
  <r>
    <n v="10288"/>
    <x v="3"/>
    <s v="Paypal"/>
    <n v="18744208"/>
    <s v="Web"/>
    <n v="222.38"/>
    <x v="1"/>
    <d v="1899-12-30T18:53:00"/>
  </r>
  <r>
    <n v="10289"/>
    <x v="3"/>
    <s v="Paypal"/>
    <n v="52683186"/>
    <s v="Web"/>
    <n v="188.85"/>
    <x v="1"/>
    <d v="1899-12-30T05:05:00"/>
  </r>
  <r>
    <n v="10290"/>
    <x v="0"/>
    <s v="Credit"/>
    <n v="87677897"/>
    <s v="Web"/>
    <n v="15.32"/>
    <x v="1"/>
    <d v="1899-12-30T09:09:00"/>
  </r>
  <r>
    <n v="10291"/>
    <x v="1"/>
    <s v="Credit"/>
    <n v="78943440"/>
    <s v="Email"/>
    <n v="24.71"/>
    <x v="1"/>
    <d v="1899-12-30T16:22:00"/>
  </r>
  <r>
    <n v="10292"/>
    <x v="0"/>
    <s v="Credit"/>
    <n v="92175770"/>
    <s v="Web"/>
    <n v="20.97"/>
    <x v="1"/>
    <d v="1899-12-30T11:17:00"/>
  </r>
  <r>
    <n v="10293"/>
    <x v="1"/>
    <s v="Credit"/>
    <n v="32571506"/>
    <s v="Email"/>
    <n v="21.92"/>
    <x v="0"/>
    <d v="1899-12-30T19:17:00"/>
  </r>
  <r>
    <n v="10294"/>
    <x v="1"/>
    <s v="Paypal"/>
    <n v="11427628"/>
    <s v="Web"/>
    <n v="15.4"/>
    <x v="1"/>
    <d v="1899-12-30T17:16:00"/>
  </r>
  <r>
    <n v="10295"/>
    <x v="0"/>
    <s v="Credit"/>
    <n v="92399789"/>
    <s v="Web"/>
    <n v="23.08"/>
    <x v="1"/>
    <d v="1899-12-30T07:07:00"/>
  </r>
  <r>
    <n v="10296"/>
    <x v="0"/>
    <s v="Paypal"/>
    <n v="63645553"/>
    <s v="Web"/>
    <n v="23.4"/>
    <x v="0"/>
    <d v="1899-12-30T01:01:00"/>
  </r>
  <r>
    <n v="10297"/>
    <x v="2"/>
    <s v="Credit"/>
    <n v="11175481"/>
    <s v="Web"/>
    <n v="22.65"/>
    <x v="1"/>
    <d v="1899-12-30T06:06:00"/>
  </r>
  <r>
    <n v="10298"/>
    <x v="0"/>
    <s v="Paypal"/>
    <n v="71269390"/>
    <s v="Email"/>
    <n v="24.61"/>
    <x v="1"/>
    <d v="1899-12-30T13:08:00"/>
  </r>
  <r>
    <n v="10299"/>
    <x v="0"/>
    <s v="Credit"/>
    <n v="97215985"/>
    <s v="Web"/>
    <n v="24.97"/>
    <x v="1"/>
    <d v="1899-12-30T16:53:00"/>
  </r>
  <r>
    <n v="10300"/>
    <x v="3"/>
    <s v="Credit"/>
    <n v="50531437"/>
    <s v="Web"/>
    <n v="18.57"/>
    <x v="1"/>
    <d v="1899-12-30T12:45:00"/>
  </r>
  <r>
    <n v="10301"/>
    <x v="1"/>
    <s v="Credit"/>
    <n v="94922677"/>
    <s v="Email"/>
    <n v="16.149999999999999"/>
    <x v="0"/>
    <d v="1899-12-30T03:03:00"/>
  </r>
  <r>
    <n v="10302"/>
    <x v="1"/>
    <s v="Paypal"/>
    <n v="17454394"/>
    <s v="Web"/>
    <n v="19.95"/>
    <x v="1"/>
    <d v="1899-12-30T19:35:00"/>
  </r>
  <r>
    <n v="10303"/>
    <x v="1"/>
    <s v="Paypal"/>
    <n v="84850536"/>
    <s v="Web"/>
    <n v="15.61"/>
    <x v="0"/>
    <d v="1899-12-30T22:02:00"/>
  </r>
  <r>
    <n v="10304"/>
    <x v="3"/>
    <s v="Credit"/>
    <n v="32164694"/>
    <s v="Email"/>
    <n v="19.13"/>
    <x v="1"/>
    <d v="1899-12-30T22:55:00"/>
  </r>
  <r>
    <n v="10305"/>
    <x v="1"/>
    <s v="Credit"/>
    <n v="88979280"/>
    <s v="Web"/>
    <n v="231.23"/>
    <x v="1"/>
    <d v="1899-12-30T00:00:00"/>
  </r>
  <r>
    <n v="10306"/>
    <x v="0"/>
    <s v="Credit"/>
    <n v="21059538"/>
    <s v="Email"/>
    <n v="244.75"/>
    <x v="1"/>
    <d v="1899-12-30T10:13:00"/>
  </r>
  <r>
    <n v="10307"/>
    <x v="3"/>
    <s v="Paypal"/>
    <n v="12677778"/>
    <s v="Web"/>
    <n v="21.36"/>
    <x v="0"/>
    <d v="1899-12-30T20:25:00"/>
  </r>
  <r>
    <n v="10308"/>
    <x v="1"/>
    <s v="Credit"/>
    <n v="77758706"/>
    <s v="Web"/>
    <n v="21.83"/>
    <x v="1"/>
    <d v="1899-12-30T01:01:00"/>
  </r>
  <r>
    <n v="10309"/>
    <x v="3"/>
    <s v="Credit"/>
    <n v="14512758"/>
    <s v="Email"/>
    <n v="21.58"/>
    <x v="0"/>
    <d v="1899-12-30T01:01:00"/>
  </r>
  <r>
    <n v="10310"/>
    <x v="2"/>
    <s v="Paypal"/>
    <n v="23076219"/>
    <s v="Email"/>
    <n v="17.510000000000002"/>
    <x v="1"/>
    <d v="1899-12-30T20:19:00"/>
  </r>
  <r>
    <n v="10311"/>
    <x v="3"/>
    <s v="Paypal"/>
    <n v="71350323"/>
    <s v="Web"/>
    <n v="23.29"/>
    <x v="0"/>
    <d v="1899-12-30T04:04:00"/>
  </r>
  <r>
    <n v="10312"/>
    <x v="1"/>
    <s v="Paypal"/>
    <n v="60395312"/>
    <s v="Web"/>
    <n v="18.350000000000001"/>
    <x v="1"/>
    <d v="1899-12-30T20:54:00"/>
  </r>
  <r>
    <n v="10313"/>
    <x v="1"/>
    <s v="Credit"/>
    <n v="38530736"/>
    <s v="Email"/>
    <n v="23.06"/>
    <x v="0"/>
    <d v="1899-12-30T11:48:00"/>
  </r>
  <r>
    <n v="10314"/>
    <x v="3"/>
    <s v="Credit"/>
    <n v="16039556"/>
    <s v="Web"/>
    <n v="19.809999999999999"/>
    <x v="0"/>
    <d v="1899-12-30T21:19:00"/>
  </r>
  <r>
    <n v="10315"/>
    <x v="0"/>
    <s v="Credit"/>
    <n v="93353650"/>
    <s v="Web"/>
    <n v="162.74"/>
    <x v="1"/>
    <d v="1899-12-30T09:09:00"/>
  </r>
  <r>
    <n v="10316"/>
    <x v="0"/>
    <s v="Credit"/>
    <n v="14150787"/>
    <s v="Web"/>
    <n v="16.86"/>
    <x v="0"/>
    <d v="1899-12-30T09:09:00"/>
  </r>
  <r>
    <n v="10317"/>
    <x v="3"/>
    <s v="Credit"/>
    <n v="97279689"/>
    <s v="Web"/>
    <n v="23.31"/>
    <x v="1"/>
    <d v="1899-12-30T16:23:00"/>
  </r>
  <r>
    <n v="10318"/>
    <x v="1"/>
    <s v="Credit"/>
    <n v="65882511"/>
    <s v="Email"/>
    <n v="22.92"/>
    <x v="1"/>
    <d v="1899-12-30T00:00:00"/>
  </r>
  <r>
    <n v="10319"/>
    <x v="1"/>
    <s v="Credit"/>
    <n v="88066592"/>
    <s v="Email"/>
    <n v="22.84"/>
    <x v="0"/>
    <d v="1899-12-30T17:37:00"/>
  </r>
  <r>
    <n v="10320"/>
    <x v="2"/>
    <s v="Credit"/>
    <n v="82643293"/>
    <s v="Web"/>
    <n v="16.97"/>
    <x v="0"/>
    <d v="1899-12-30T04:04:00"/>
  </r>
  <r>
    <n v="10321"/>
    <x v="3"/>
    <s v="Credit"/>
    <n v="97730191"/>
    <s v="Email"/>
    <n v="188.16"/>
    <x v="1"/>
    <d v="1899-12-30T19:21:00"/>
  </r>
  <r>
    <n v="10322"/>
    <x v="1"/>
    <s v="Credit"/>
    <n v="59686740"/>
    <s v="Web"/>
    <n v="22.57"/>
    <x v="0"/>
    <d v="1899-12-30T18:45:00"/>
  </r>
  <r>
    <n v="10323"/>
    <x v="2"/>
    <s v="Paypal"/>
    <n v="93594435"/>
    <s v="Web"/>
    <n v="24.71"/>
    <x v="0"/>
    <d v="1899-12-30T13:34:00"/>
  </r>
  <r>
    <n v="10324"/>
    <x v="3"/>
    <s v="Credit"/>
    <n v="82961120"/>
    <s v="Web"/>
    <n v="246.67"/>
    <x v="1"/>
    <d v="1899-12-30T16:47:00"/>
  </r>
  <r>
    <n v="10325"/>
    <x v="3"/>
    <s v="Credit"/>
    <n v="97623213"/>
    <s v="Web"/>
    <n v="20.97"/>
    <x v="1"/>
    <d v="1899-12-30T08:08:00"/>
  </r>
  <r>
    <n v="10326"/>
    <x v="0"/>
    <s v="Paypal"/>
    <n v="14765562"/>
    <s v="Email"/>
    <n v="19.829999999999998"/>
    <x v="1"/>
    <d v="1899-12-30T04:04:00"/>
  </r>
  <r>
    <n v="10327"/>
    <x v="1"/>
    <s v="Paypal"/>
    <n v="85470735"/>
    <s v="Email"/>
    <n v="19.09"/>
    <x v="1"/>
    <d v="1899-12-30T11:45:00"/>
  </r>
  <r>
    <n v="10328"/>
    <x v="3"/>
    <s v="Credit"/>
    <n v="55160635"/>
    <s v="Email"/>
    <n v="16.52"/>
    <x v="1"/>
    <d v="1899-12-30T06:06:00"/>
  </r>
  <r>
    <n v="10329"/>
    <x v="3"/>
    <s v="Credit"/>
    <n v="90852426"/>
    <s v="Email"/>
    <n v="22.31"/>
    <x v="1"/>
    <d v="1899-12-30T02:02:00"/>
  </r>
  <r>
    <n v="10330"/>
    <x v="2"/>
    <s v="Credit"/>
    <n v="15945216"/>
    <s v="Email"/>
    <n v="19.52"/>
    <x v="0"/>
    <d v="1899-12-30T00:00:00"/>
  </r>
  <r>
    <n v="10331"/>
    <x v="1"/>
    <s v="Credit"/>
    <n v="96688991"/>
    <s v="Web"/>
    <n v="24.79"/>
    <x v="0"/>
    <d v="1899-12-30T09:09:00"/>
  </r>
  <r>
    <n v="10332"/>
    <x v="1"/>
    <s v="Credit"/>
    <n v="31841597"/>
    <s v="Email"/>
    <n v="18.84"/>
    <x v="0"/>
    <d v="1899-12-30T22:04:00"/>
  </r>
  <r>
    <n v="10333"/>
    <x v="0"/>
    <s v="Credit"/>
    <n v="69450143"/>
    <s v="Web"/>
    <n v="24.58"/>
    <x v="0"/>
    <d v="1899-12-30T00:00:00"/>
  </r>
  <r>
    <n v="10334"/>
    <x v="2"/>
    <s v="Credit"/>
    <n v="43384272"/>
    <s v="Web"/>
    <n v="17.190000000000001"/>
    <x v="1"/>
    <d v="1899-12-30T12:19:00"/>
  </r>
  <r>
    <n v="10335"/>
    <x v="0"/>
    <s v="Paypal"/>
    <n v="65292790"/>
    <s v="Web"/>
    <n v="19.649999999999999"/>
    <x v="1"/>
    <d v="1899-12-30T06:06:00"/>
  </r>
  <r>
    <n v="10336"/>
    <x v="3"/>
    <s v="Credit"/>
    <n v="71336291"/>
    <s v="Web"/>
    <n v="17.350000000000001"/>
    <x v="1"/>
    <d v="1899-12-30T21:37:00"/>
  </r>
  <r>
    <n v="10337"/>
    <x v="1"/>
    <s v="Paypal"/>
    <n v="99300859"/>
    <s v="Web"/>
    <n v="22.92"/>
    <x v="0"/>
    <d v="1899-12-30T16:23:00"/>
  </r>
  <r>
    <n v="10338"/>
    <x v="2"/>
    <s v="Credit"/>
    <n v="81921349"/>
    <s v="Email"/>
    <n v="18.809999999999999"/>
    <x v="0"/>
    <d v="1899-12-30T07:07:00"/>
  </r>
  <r>
    <n v="10339"/>
    <x v="1"/>
    <s v="Paypal"/>
    <n v="40237279"/>
    <s v="Web"/>
    <n v="20.079999999999998"/>
    <x v="1"/>
    <d v="1899-12-30T03:03:00"/>
  </r>
  <r>
    <n v="10340"/>
    <x v="1"/>
    <s v="Credit"/>
    <n v="38167466"/>
    <s v="Email"/>
    <n v="24.54"/>
    <x v="1"/>
    <d v="1899-12-30T04:04:00"/>
  </r>
  <r>
    <n v="10341"/>
    <x v="1"/>
    <s v="Paypal"/>
    <n v="88466601"/>
    <s v="Web"/>
    <n v="24.81"/>
    <x v="1"/>
    <d v="1899-12-30T14:40:00"/>
  </r>
  <r>
    <n v="10342"/>
    <x v="1"/>
    <s v="Paypal"/>
    <n v="27965385"/>
    <s v="Email"/>
    <n v="15.94"/>
    <x v="0"/>
    <d v="1899-12-30T00:00:00"/>
  </r>
  <r>
    <n v="10343"/>
    <x v="2"/>
    <s v="Paypal"/>
    <n v="80215999"/>
    <s v="Web"/>
    <n v="18.29"/>
    <x v="0"/>
    <d v="1899-12-30T08:08:00"/>
  </r>
  <r>
    <n v="10344"/>
    <x v="0"/>
    <s v="Credit"/>
    <n v="12222505"/>
    <s v="Web"/>
    <n v="15.55"/>
    <x v="0"/>
    <d v="1899-12-30T06:06:00"/>
  </r>
  <r>
    <n v="10345"/>
    <x v="1"/>
    <s v="Paypal"/>
    <n v="64014515"/>
    <s v="Web"/>
    <n v="19.2"/>
    <x v="0"/>
    <d v="1899-12-30T20:52:00"/>
  </r>
  <r>
    <n v="10346"/>
    <x v="1"/>
    <s v="Credit"/>
    <n v="90818758"/>
    <s v="Email"/>
    <n v="17.34"/>
    <x v="0"/>
    <d v="1899-12-30T18:10:00"/>
  </r>
  <r>
    <n v="10347"/>
    <x v="0"/>
    <s v="Paypal"/>
    <n v="94873280"/>
    <s v="Email"/>
    <n v="22.51"/>
    <x v="0"/>
    <d v="1899-12-30T05:05:00"/>
  </r>
  <r>
    <n v="10348"/>
    <x v="3"/>
    <s v="Paypal"/>
    <n v="73200296"/>
    <s v="Email"/>
    <n v="23.45"/>
    <x v="0"/>
    <d v="1899-12-30T02:02:00"/>
  </r>
  <r>
    <n v="10349"/>
    <x v="0"/>
    <s v="Paypal"/>
    <n v="38960810"/>
    <s v="Web"/>
    <n v="16.149999999999999"/>
    <x v="0"/>
    <d v="1899-12-30T13:45:00"/>
  </r>
  <r>
    <n v="10350"/>
    <x v="1"/>
    <s v="Paypal"/>
    <n v="88326061"/>
    <s v="Web"/>
    <n v="17.68"/>
    <x v="1"/>
    <d v="1899-12-30T00:00:00"/>
  </r>
  <r>
    <n v="10351"/>
    <x v="2"/>
    <s v="Credit"/>
    <n v="41691635"/>
    <s v="Email"/>
    <n v="22.11"/>
    <x v="1"/>
    <d v="1899-12-30T11:28:00"/>
  </r>
  <r>
    <n v="10352"/>
    <x v="1"/>
    <s v="Credit"/>
    <n v="58121431"/>
    <s v="Web"/>
    <n v="18.41"/>
    <x v="0"/>
    <d v="1899-12-30T01:01:00"/>
  </r>
  <r>
    <n v="10353"/>
    <x v="1"/>
    <s v="Paypal"/>
    <n v="55259994"/>
    <s v="Web"/>
    <n v="17.079999999999998"/>
    <x v="0"/>
    <d v="1899-12-30T17:06:00"/>
  </r>
  <r>
    <n v="10354"/>
    <x v="3"/>
    <s v="Paypal"/>
    <n v="61072223"/>
    <s v="Web"/>
    <n v="15.77"/>
    <x v="0"/>
    <d v="1899-12-30T10:36:00"/>
  </r>
  <r>
    <n v="10355"/>
    <x v="0"/>
    <s v="Credit"/>
    <n v="17256670"/>
    <s v="Web"/>
    <n v="22.41"/>
    <x v="1"/>
    <d v="1899-12-30T07:07:00"/>
  </r>
  <r>
    <n v="10356"/>
    <x v="2"/>
    <s v="Paypal"/>
    <n v="98206099"/>
    <s v="Web"/>
    <n v="20.63"/>
    <x v="0"/>
    <d v="1899-12-30T03:03:00"/>
  </r>
  <r>
    <n v="10357"/>
    <x v="3"/>
    <s v="Credit"/>
    <n v="43063718"/>
    <s v="Email"/>
    <n v="18.14"/>
    <x v="1"/>
    <d v="1899-12-30T03:03:00"/>
  </r>
  <r>
    <n v="10358"/>
    <x v="2"/>
    <s v="Credit"/>
    <n v="67151337"/>
    <s v="Web"/>
    <n v="20.18"/>
    <x v="1"/>
    <d v="1899-12-30T11:13:00"/>
  </r>
  <r>
    <n v="10359"/>
    <x v="1"/>
    <s v="Credit"/>
    <n v="39969279"/>
    <s v="Email"/>
    <n v="177.3"/>
    <x v="1"/>
    <d v="1899-12-30T11:33:00"/>
  </r>
  <r>
    <n v="10360"/>
    <x v="3"/>
    <s v="Paypal"/>
    <n v="58790759"/>
    <s v="Web"/>
    <n v="15.71"/>
    <x v="0"/>
    <d v="1899-12-30T05:05:00"/>
  </r>
  <r>
    <n v="10361"/>
    <x v="2"/>
    <s v="Credit"/>
    <n v="45790914"/>
    <s v="Web"/>
    <n v="21.75"/>
    <x v="0"/>
    <d v="1899-12-30T17:22:00"/>
  </r>
  <r>
    <n v="10362"/>
    <x v="3"/>
    <s v="Credit"/>
    <n v="85351233"/>
    <s v="Email"/>
    <n v="18.25"/>
    <x v="1"/>
    <d v="1899-12-30T05:05:00"/>
  </r>
  <r>
    <n v="10363"/>
    <x v="3"/>
    <s v="Credit"/>
    <n v="40331224"/>
    <s v="Web"/>
    <n v="203.72"/>
    <x v="1"/>
    <d v="1899-12-30T14:29:00"/>
  </r>
  <r>
    <n v="10364"/>
    <x v="1"/>
    <s v="Paypal"/>
    <n v="13065288"/>
    <s v="Email"/>
    <n v="15.54"/>
    <x v="1"/>
    <d v="1899-12-30T19:36:00"/>
  </r>
  <r>
    <n v="10365"/>
    <x v="1"/>
    <s v="Credit"/>
    <n v="30370343"/>
    <s v="Web"/>
    <n v="17.5"/>
    <x v="0"/>
    <d v="1899-12-30T05:05:00"/>
  </r>
  <r>
    <n v="10366"/>
    <x v="0"/>
    <s v="Credit"/>
    <n v="38342520"/>
    <s v="Web"/>
    <n v="21.32"/>
    <x v="1"/>
    <d v="1899-12-30T02:02:00"/>
  </r>
  <r>
    <n v="10367"/>
    <x v="0"/>
    <s v="Paypal"/>
    <n v="37778643"/>
    <s v="Web"/>
    <n v="150.86000000000001"/>
    <x v="1"/>
    <d v="1899-12-30T13:17:00"/>
  </r>
  <r>
    <n v="10368"/>
    <x v="1"/>
    <s v="Paypal"/>
    <n v="21005551"/>
    <s v="Web"/>
    <n v="17.39"/>
    <x v="1"/>
    <d v="1899-12-30T04:04:00"/>
  </r>
  <r>
    <n v="10369"/>
    <x v="0"/>
    <s v="Credit"/>
    <n v="80160243"/>
    <s v="Web"/>
    <n v="23.87"/>
    <x v="0"/>
    <d v="1899-12-30T13:52:00"/>
  </r>
  <r>
    <n v="10370"/>
    <x v="2"/>
    <s v="Credit"/>
    <n v="70859272"/>
    <s v="Web"/>
    <n v="21.53"/>
    <x v="1"/>
    <d v="1899-12-30T16:04:00"/>
  </r>
  <r>
    <n v="10371"/>
    <x v="2"/>
    <s v="Credit"/>
    <n v="41514905"/>
    <s v="Web"/>
    <n v="19.64"/>
    <x v="0"/>
    <d v="1899-12-30T16:14:00"/>
  </r>
  <r>
    <n v="10372"/>
    <x v="1"/>
    <s v="Paypal"/>
    <n v="68986646"/>
    <s v="Web"/>
    <n v="18.27"/>
    <x v="1"/>
    <d v="1899-12-30T18:39:00"/>
  </r>
  <r>
    <n v="10373"/>
    <x v="1"/>
    <s v="Credit"/>
    <n v="51423763"/>
    <s v="Web"/>
    <n v="19.27"/>
    <x v="0"/>
    <d v="1899-12-30T06:06:00"/>
  </r>
  <r>
    <n v="10374"/>
    <x v="2"/>
    <s v="Credit"/>
    <n v="78615837"/>
    <s v="Web"/>
    <n v="20.16"/>
    <x v="1"/>
    <d v="1899-12-30T14:38:00"/>
  </r>
  <r>
    <n v="10375"/>
    <x v="1"/>
    <s v="Credit"/>
    <n v="95641106"/>
    <s v="Web"/>
    <n v="15.59"/>
    <x v="0"/>
    <d v="1899-12-30T04:04:00"/>
  </r>
  <r>
    <n v="10376"/>
    <x v="3"/>
    <s v="Paypal"/>
    <n v="40892422"/>
    <s v="Email"/>
    <n v="16.34"/>
    <x v="0"/>
    <d v="1899-12-30T12:35:00"/>
  </r>
  <r>
    <n v="10377"/>
    <x v="0"/>
    <s v="Credit"/>
    <n v="70431710"/>
    <s v="Web"/>
    <n v="199.18"/>
    <x v="1"/>
    <d v="1899-12-30T14:00:00"/>
  </r>
  <r>
    <n v="10378"/>
    <x v="3"/>
    <s v="Paypal"/>
    <n v="95673115"/>
    <s v="Web"/>
    <n v="19.989999999999998"/>
    <x v="1"/>
    <d v="1899-12-30T20:29:00"/>
  </r>
  <r>
    <n v="10379"/>
    <x v="2"/>
    <s v="Credit"/>
    <n v="72527223"/>
    <s v="Email"/>
    <n v="18.440000000000001"/>
    <x v="0"/>
    <d v="1899-12-30T18:38:00"/>
  </r>
  <r>
    <n v="10380"/>
    <x v="1"/>
    <s v="Credit"/>
    <n v="77577648"/>
    <s v="Web"/>
    <n v="23.75"/>
    <x v="1"/>
    <d v="1899-12-30T09:09:00"/>
  </r>
  <r>
    <n v="10381"/>
    <x v="1"/>
    <s v="Credit"/>
    <n v="26849225"/>
    <s v="Web"/>
    <n v="20.88"/>
    <x v="0"/>
    <d v="1899-12-30T00:00:00"/>
  </r>
  <r>
    <n v="10382"/>
    <x v="3"/>
    <s v="Credit"/>
    <n v="27508938"/>
    <s v="Web"/>
    <n v="197.43"/>
    <x v="1"/>
    <d v="1899-12-30T10:43:00"/>
  </r>
  <r>
    <n v="10383"/>
    <x v="1"/>
    <s v="Credit"/>
    <n v="43095105"/>
    <s v="Web"/>
    <n v="20.32"/>
    <x v="1"/>
    <d v="1899-12-30T18:33:00"/>
  </r>
  <r>
    <n v="10384"/>
    <x v="3"/>
    <s v="Credit"/>
    <n v="70978581"/>
    <s v="Web"/>
    <n v="16.82"/>
    <x v="0"/>
    <d v="1899-12-30T08:08:00"/>
  </r>
  <r>
    <n v="10385"/>
    <x v="1"/>
    <s v="Paypal"/>
    <n v="72898757"/>
    <s v="Web"/>
    <n v="20.16"/>
    <x v="1"/>
    <d v="1899-12-30T13:40:00"/>
  </r>
  <r>
    <n v="10386"/>
    <x v="1"/>
    <s v="Credit"/>
    <n v="56976893"/>
    <s v="Web"/>
    <n v="16.79"/>
    <x v="1"/>
    <d v="1899-12-30T21:27:00"/>
  </r>
  <r>
    <n v="10387"/>
    <x v="2"/>
    <s v="Credit"/>
    <n v="35119351"/>
    <s v="Email"/>
    <n v="22.53"/>
    <x v="1"/>
    <d v="1899-12-30T11:41:00"/>
  </r>
  <r>
    <n v="10388"/>
    <x v="3"/>
    <s v="Paypal"/>
    <n v="65437162"/>
    <s v="Email"/>
    <n v="21.68"/>
    <x v="1"/>
    <d v="1899-12-30T14:32:00"/>
  </r>
  <r>
    <n v="10389"/>
    <x v="2"/>
    <s v="Paypal"/>
    <n v="70003314"/>
    <s v="Email"/>
    <n v="23.54"/>
    <x v="1"/>
    <d v="1899-12-30T06:06:00"/>
  </r>
  <r>
    <n v="10390"/>
    <x v="0"/>
    <s v="Paypal"/>
    <n v="54664522"/>
    <s v="Web"/>
    <n v="17.670000000000002"/>
    <x v="0"/>
    <d v="1899-12-30T09:09:00"/>
  </r>
  <r>
    <n v="10391"/>
    <x v="1"/>
    <s v="Credit"/>
    <n v="10325805"/>
    <s v="Web"/>
    <n v="22.79"/>
    <x v="1"/>
    <d v="1899-12-30T00:00:00"/>
  </r>
  <r>
    <n v="10392"/>
    <x v="0"/>
    <s v="Paypal"/>
    <n v="28672617"/>
    <s v="Web"/>
    <n v="24.8"/>
    <x v="1"/>
    <d v="1899-12-30T18:09:00"/>
  </r>
  <r>
    <n v="10393"/>
    <x v="3"/>
    <s v="Paypal"/>
    <n v="21364705"/>
    <s v="Email"/>
    <n v="15.27"/>
    <x v="1"/>
    <d v="1899-12-30T08:08:00"/>
  </r>
  <r>
    <n v="10394"/>
    <x v="1"/>
    <s v="Credit"/>
    <n v="44719881"/>
    <s v="Email"/>
    <n v="18.739999999999998"/>
    <x v="1"/>
    <d v="1899-12-30T22:41:00"/>
  </r>
  <r>
    <n v="10395"/>
    <x v="1"/>
    <s v="Credit"/>
    <n v="42164058"/>
    <s v="Web"/>
    <n v="16.47"/>
    <x v="0"/>
    <d v="1899-12-30T20:26:00"/>
  </r>
  <r>
    <n v="10396"/>
    <x v="1"/>
    <s v="Paypal"/>
    <n v="68675115"/>
    <s v="Web"/>
    <n v="18.11"/>
    <x v="0"/>
    <d v="1899-12-30T00:00:00"/>
  </r>
  <r>
    <n v="10397"/>
    <x v="1"/>
    <s v="Paypal"/>
    <n v="48712948"/>
    <s v="Web"/>
    <n v="20.73"/>
    <x v="0"/>
    <d v="1899-12-30T17:46:00"/>
  </r>
  <r>
    <n v="10398"/>
    <x v="1"/>
    <s v="Credit"/>
    <n v="93152672"/>
    <s v="Web"/>
    <n v="21.64"/>
    <x v="0"/>
    <d v="1899-12-30T16:11:00"/>
  </r>
  <r>
    <n v="10399"/>
    <x v="0"/>
    <s v="Credit"/>
    <n v="12824694"/>
    <s v="Web"/>
    <n v="17.38"/>
    <x v="1"/>
    <d v="1899-12-30T16:14:00"/>
  </r>
  <r>
    <n v="10400"/>
    <x v="1"/>
    <s v="Credit"/>
    <n v="73484989"/>
    <s v="Web"/>
    <n v="17.7"/>
    <x v="0"/>
    <d v="1899-12-30T07:07:00"/>
  </r>
  <r>
    <n v="10401"/>
    <x v="1"/>
    <s v="Credit"/>
    <n v="79418802"/>
    <s v="Web"/>
    <n v="24.66"/>
    <x v="1"/>
    <d v="1899-12-30T17:07:00"/>
  </r>
  <r>
    <n v="10402"/>
    <x v="1"/>
    <s v="Credit"/>
    <n v="85598102"/>
    <s v="Web"/>
    <n v="24.24"/>
    <x v="0"/>
    <d v="1899-12-30T19:16:00"/>
  </r>
  <r>
    <n v="10403"/>
    <x v="3"/>
    <s v="Paypal"/>
    <n v="81254753"/>
    <s v="Email"/>
    <n v="19.79"/>
    <x v="1"/>
    <d v="1899-12-30T07:07:00"/>
  </r>
  <r>
    <n v="10404"/>
    <x v="2"/>
    <s v="Credit"/>
    <n v="97869460"/>
    <s v="Web"/>
    <n v="16.86"/>
    <x v="0"/>
    <d v="1899-12-30T08:08:00"/>
  </r>
  <r>
    <n v="10405"/>
    <x v="2"/>
    <s v="Credit"/>
    <n v="19446725"/>
    <s v="Web"/>
    <n v="19.97"/>
    <x v="0"/>
    <d v="1899-12-30T22:37:00"/>
  </r>
  <r>
    <n v="10406"/>
    <x v="0"/>
    <s v="Credit"/>
    <n v="12075708"/>
    <s v="Web"/>
    <n v="22.99"/>
    <x v="1"/>
    <d v="1899-12-30T09:09:00"/>
  </r>
  <r>
    <n v="10407"/>
    <x v="2"/>
    <s v="Credit"/>
    <n v="87645248"/>
    <s v="Web"/>
    <n v="153.83000000000001"/>
    <x v="1"/>
    <d v="1899-12-30T15:07:00"/>
  </r>
  <r>
    <n v="10408"/>
    <x v="3"/>
    <s v="Credit"/>
    <n v="88351358"/>
    <s v="Web"/>
    <n v="15.2"/>
    <x v="0"/>
    <d v="1899-12-30T15:03:00"/>
  </r>
  <r>
    <n v="10409"/>
    <x v="1"/>
    <s v="Credit"/>
    <n v="86741411"/>
    <s v="Web"/>
    <n v="16.010000000000002"/>
    <x v="0"/>
    <d v="1899-12-30T20:02:00"/>
  </r>
  <r>
    <n v="10410"/>
    <x v="1"/>
    <s v="Paypal"/>
    <n v="85689748"/>
    <s v="Web"/>
    <n v="18.88"/>
    <x v="0"/>
    <d v="1899-12-30T17:57:00"/>
  </r>
  <r>
    <n v="10411"/>
    <x v="3"/>
    <s v="Credit"/>
    <n v="39676844"/>
    <s v="Email"/>
    <n v="21.54"/>
    <x v="1"/>
    <d v="1899-12-30T19:37:00"/>
  </r>
  <r>
    <n v="10412"/>
    <x v="0"/>
    <s v="Credit"/>
    <n v="59845402"/>
    <s v="Web"/>
    <n v="24.11"/>
    <x v="1"/>
    <d v="1899-12-30T00:00:00"/>
  </r>
  <r>
    <n v="10413"/>
    <x v="2"/>
    <s v="Paypal"/>
    <n v="39267241"/>
    <s v="Web"/>
    <n v="21.43"/>
    <x v="1"/>
    <d v="1899-12-30T08:08:00"/>
  </r>
  <r>
    <n v="10414"/>
    <x v="2"/>
    <s v="Credit"/>
    <n v="82025542"/>
    <s v="Web"/>
    <n v="24.8"/>
    <x v="0"/>
    <d v="1899-12-30T00:00:00"/>
  </r>
  <r>
    <n v="10415"/>
    <x v="1"/>
    <s v="Credit"/>
    <n v="16559991"/>
    <s v="Web"/>
    <n v="19.760000000000002"/>
    <x v="0"/>
    <d v="1899-12-30T20:15:00"/>
  </r>
  <r>
    <n v="10416"/>
    <x v="2"/>
    <s v="Credit"/>
    <n v="80278554"/>
    <s v="Web"/>
    <n v="23.97"/>
    <x v="0"/>
    <d v="1899-12-30T18:39:00"/>
  </r>
  <r>
    <n v="10417"/>
    <x v="2"/>
    <s v="Credit"/>
    <n v="30257860"/>
    <s v="Web"/>
    <n v="19.96"/>
    <x v="0"/>
    <d v="1899-12-30T11:25:00"/>
  </r>
  <r>
    <n v="10418"/>
    <x v="1"/>
    <s v="Credit"/>
    <n v="46744434"/>
    <s v="Web"/>
    <n v="18.190000000000001"/>
    <x v="1"/>
    <d v="1899-12-30T01:01:00"/>
  </r>
  <r>
    <n v="10419"/>
    <x v="0"/>
    <s v="Credit"/>
    <n v="49155614"/>
    <s v="Web"/>
    <n v="17.28"/>
    <x v="0"/>
    <d v="1899-12-30T15:45:00"/>
  </r>
  <r>
    <n v="10420"/>
    <x v="1"/>
    <s v="Credit"/>
    <n v="53795790"/>
    <s v="Web"/>
    <n v="24.84"/>
    <x v="1"/>
    <d v="1899-12-30T08:08:00"/>
  </r>
  <r>
    <n v="10421"/>
    <x v="3"/>
    <s v="Paypal"/>
    <n v="75332091"/>
    <s v="Email"/>
    <n v="16.32"/>
    <x v="1"/>
    <d v="1899-12-30T13:50:00"/>
  </r>
  <r>
    <n v="10422"/>
    <x v="2"/>
    <s v="Credit"/>
    <n v="83194866"/>
    <s v="Web"/>
    <n v="23.47"/>
    <x v="1"/>
    <d v="1899-12-30T17:00:00"/>
  </r>
  <r>
    <n v="10423"/>
    <x v="1"/>
    <s v="Credit"/>
    <n v="33911548"/>
    <s v="Email"/>
    <n v="16.649999999999999"/>
    <x v="1"/>
    <d v="1899-12-30T19:19:00"/>
  </r>
  <r>
    <n v="10424"/>
    <x v="0"/>
    <s v="Paypal"/>
    <n v="20917768"/>
    <s v="Web"/>
    <n v="22.64"/>
    <x v="1"/>
    <d v="1899-12-30T11:53:00"/>
  </r>
  <r>
    <n v="10425"/>
    <x v="2"/>
    <s v="Credit"/>
    <n v="63888401"/>
    <s v="Web"/>
    <n v="16.66"/>
    <x v="1"/>
    <d v="1899-12-30T02:02:00"/>
  </r>
  <r>
    <n v="10426"/>
    <x v="2"/>
    <s v="Credit"/>
    <n v="99361092"/>
    <s v="Email"/>
    <n v="21.78"/>
    <x v="1"/>
    <d v="1899-12-30T14:10:00"/>
  </r>
  <r>
    <n v="10427"/>
    <x v="1"/>
    <s v="Paypal"/>
    <n v="39373058"/>
    <s v="Web"/>
    <n v="21.29"/>
    <x v="0"/>
    <d v="1899-12-30T14:14:00"/>
  </r>
  <r>
    <n v="10428"/>
    <x v="2"/>
    <s v="Paypal"/>
    <n v="91945826"/>
    <s v="Web"/>
    <n v="160.78"/>
    <x v="1"/>
    <d v="1899-12-30T14:47:00"/>
  </r>
  <r>
    <n v="10429"/>
    <x v="1"/>
    <s v="Credit"/>
    <n v="39442197"/>
    <s v="Web"/>
    <n v="21.1"/>
    <x v="1"/>
    <d v="1899-12-30T14:38:00"/>
  </r>
  <r>
    <n v="10430"/>
    <x v="0"/>
    <s v="Credit"/>
    <n v="96995760"/>
    <s v="Web"/>
    <n v="169.79"/>
    <x v="1"/>
    <d v="1899-12-30T20:13:00"/>
  </r>
  <r>
    <n v="10431"/>
    <x v="1"/>
    <s v="Paypal"/>
    <n v="99830378"/>
    <s v="Web"/>
    <n v="16.989999999999998"/>
    <x v="1"/>
    <d v="1899-12-30T03:03:00"/>
  </r>
  <r>
    <n v="10432"/>
    <x v="2"/>
    <s v="Credit"/>
    <n v="97898924"/>
    <s v="Email"/>
    <n v="23.64"/>
    <x v="0"/>
    <d v="1899-12-30T08:08:00"/>
  </r>
  <r>
    <n v="10433"/>
    <x v="2"/>
    <s v="Credit"/>
    <n v="48100304"/>
    <s v="Email"/>
    <n v="18.920000000000002"/>
    <x v="1"/>
    <d v="1899-12-30T13:23:00"/>
  </r>
  <r>
    <n v="10434"/>
    <x v="1"/>
    <s v="Paypal"/>
    <n v="61029935"/>
    <s v="Email"/>
    <n v="23.96"/>
    <x v="1"/>
    <d v="1899-12-30T07:07:00"/>
  </r>
  <r>
    <n v="10435"/>
    <x v="3"/>
    <s v="Paypal"/>
    <n v="74335115"/>
    <s v="Web"/>
    <n v="18.53"/>
    <x v="1"/>
    <d v="1899-12-30T21:20:00"/>
  </r>
  <r>
    <n v="10436"/>
    <x v="1"/>
    <s v="Credit"/>
    <n v="94386287"/>
    <s v="Web"/>
    <n v="24.44"/>
    <x v="0"/>
    <d v="1899-12-30T05:05:00"/>
  </r>
  <r>
    <n v="10437"/>
    <x v="3"/>
    <s v="Credit"/>
    <n v="94086275"/>
    <s v="Web"/>
    <n v="21.81"/>
    <x v="0"/>
    <d v="1899-12-30T05:05:00"/>
  </r>
  <r>
    <n v="10438"/>
    <x v="3"/>
    <s v="Paypal"/>
    <n v="59470574"/>
    <s v="Email"/>
    <n v="18.25"/>
    <x v="0"/>
    <d v="1899-12-30T15:54:00"/>
  </r>
  <r>
    <n v="10439"/>
    <x v="0"/>
    <s v="Credit"/>
    <n v="20030922"/>
    <s v="Web"/>
    <n v="17.420000000000002"/>
    <x v="1"/>
    <d v="1899-12-30T01:01:00"/>
  </r>
  <r>
    <n v="10440"/>
    <x v="3"/>
    <s v="Credit"/>
    <n v="45769254"/>
    <s v="Web"/>
    <n v="18.399999999999999"/>
    <x v="1"/>
    <d v="1899-12-30T10:25:00"/>
  </r>
  <r>
    <n v="10441"/>
    <x v="2"/>
    <s v="Paypal"/>
    <n v="94775848"/>
    <s v="Email"/>
    <n v="23.88"/>
    <x v="0"/>
    <d v="1899-12-30T03:03:00"/>
  </r>
  <r>
    <n v="10442"/>
    <x v="1"/>
    <s v="Credit"/>
    <n v="98078573"/>
    <s v="Web"/>
    <n v="17.760000000000002"/>
    <x v="1"/>
    <d v="1899-12-30T14:37:00"/>
  </r>
  <r>
    <n v="10443"/>
    <x v="3"/>
    <s v="Credit"/>
    <n v="48152632"/>
    <s v="Email"/>
    <n v="23.06"/>
    <x v="1"/>
    <d v="1899-12-30T11:57:00"/>
  </r>
  <r>
    <n v="10444"/>
    <x v="1"/>
    <s v="Paypal"/>
    <n v="44336631"/>
    <s v="Web"/>
    <n v="18.87"/>
    <x v="1"/>
    <d v="1899-12-30T16:33:00"/>
  </r>
  <r>
    <n v="10445"/>
    <x v="1"/>
    <s v="Credit"/>
    <n v="74850396"/>
    <s v="Web"/>
    <n v="17.87"/>
    <x v="0"/>
    <d v="1899-12-30T16:11:00"/>
  </r>
  <r>
    <n v="10446"/>
    <x v="0"/>
    <s v="Credit"/>
    <n v="85688947"/>
    <s v="Web"/>
    <n v="18.77"/>
    <x v="1"/>
    <d v="1899-12-30T15:09:00"/>
  </r>
  <r>
    <n v="10447"/>
    <x v="2"/>
    <s v="Credit"/>
    <n v="83549993"/>
    <s v="Web"/>
    <n v="18.600000000000001"/>
    <x v="0"/>
    <d v="1899-12-30T00:00:00"/>
  </r>
  <r>
    <n v="10448"/>
    <x v="2"/>
    <s v="Credit"/>
    <n v="62629771"/>
    <s v="Web"/>
    <n v="152.27000000000001"/>
    <x v="1"/>
    <d v="1899-12-30T06:06:00"/>
  </r>
  <r>
    <n v="10449"/>
    <x v="2"/>
    <s v="Credit"/>
    <n v="76032910"/>
    <s v="Web"/>
    <n v="20.83"/>
    <x v="1"/>
    <d v="1899-12-30T16:46:00"/>
  </r>
  <r>
    <n v="10450"/>
    <x v="1"/>
    <s v="Credit"/>
    <n v="78837536"/>
    <s v="Email"/>
    <n v="21.47"/>
    <x v="1"/>
    <d v="1899-12-30T17:52:00"/>
  </r>
  <r>
    <n v="10451"/>
    <x v="1"/>
    <s v="Credit"/>
    <n v="61532595"/>
    <s v="Web"/>
    <n v="218.6"/>
    <x v="1"/>
    <d v="1899-12-30T12:33:00"/>
  </r>
  <r>
    <n v="10452"/>
    <x v="2"/>
    <s v="Paypal"/>
    <n v="50289683"/>
    <s v="Web"/>
    <n v="163.37"/>
    <x v="1"/>
    <d v="1899-12-30T16:55:00"/>
  </r>
  <r>
    <n v="10453"/>
    <x v="2"/>
    <s v="Paypal"/>
    <n v="56319779"/>
    <s v="Web"/>
    <n v="24.78"/>
    <x v="1"/>
    <d v="1899-12-30T21:56:00"/>
  </r>
  <r>
    <n v="10454"/>
    <x v="1"/>
    <s v="Credit"/>
    <n v="26242351"/>
    <s v="Web"/>
    <n v="17.010000000000002"/>
    <x v="1"/>
    <d v="1899-12-30T07:07:00"/>
  </r>
  <r>
    <n v="10455"/>
    <x v="3"/>
    <s v="Credit"/>
    <n v="80577738"/>
    <s v="Web"/>
    <n v="231.23"/>
    <x v="1"/>
    <d v="1899-12-30T20:26:00"/>
  </r>
  <r>
    <n v="10456"/>
    <x v="0"/>
    <s v="Credit"/>
    <n v="81079401"/>
    <s v="Web"/>
    <n v="22.57"/>
    <x v="0"/>
    <d v="1899-12-30T15:02:00"/>
  </r>
  <r>
    <n v="10457"/>
    <x v="1"/>
    <s v="Paypal"/>
    <n v="17165782"/>
    <s v="Web"/>
    <n v="24.16"/>
    <x v="0"/>
    <d v="1899-12-30T11:02:00"/>
  </r>
  <r>
    <n v="10458"/>
    <x v="3"/>
    <s v="Paypal"/>
    <n v="90636722"/>
    <s v="Web"/>
    <n v="20.68"/>
    <x v="1"/>
    <d v="1899-12-30T21:51:00"/>
  </r>
  <r>
    <n v="10459"/>
    <x v="3"/>
    <s v="Paypal"/>
    <n v="43626259"/>
    <s v="Web"/>
    <n v="21.2"/>
    <x v="0"/>
    <d v="1899-12-30T07:07:00"/>
  </r>
  <r>
    <n v="10460"/>
    <x v="1"/>
    <s v="Credit"/>
    <n v="61496170"/>
    <s v="Web"/>
    <n v="247.14"/>
    <x v="1"/>
    <d v="1899-12-30T17:16:00"/>
  </r>
  <r>
    <n v="10461"/>
    <x v="3"/>
    <s v="Credit"/>
    <n v="16101751"/>
    <s v="Web"/>
    <n v="19.100000000000001"/>
    <x v="1"/>
    <d v="1899-12-30T13:04:00"/>
  </r>
  <r>
    <n v="10462"/>
    <x v="3"/>
    <s v="Paypal"/>
    <n v="55348039"/>
    <s v="Web"/>
    <n v="19.02"/>
    <x v="0"/>
    <d v="1899-12-30T22:07:00"/>
  </r>
  <r>
    <n v="10463"/>
    <x v="0"/>
    <s v="Credit"/>
    <n v="50785284"/>
    <s v="Web"/>
    <n v="19.66"/>
    <x v="1"/>
    <d v="1899-12-30T01:01:00"/>
  </r>
  <r>
    <n v="10464"/>
    <x v="1"/>
    <s v="Credit"/>
    <n v="92997267"/>
    <s v="Email"/>
    <n v="168.1"/>
    <x v="1"/>
    <d v="1899-12-30T16:22:00"/>
  </r>
  <r>
    <n v="10465"/>
    <x v="1"/>
    <s v="Credit"/>
    <n v="30255549"/>
    <s v="Web"/>
    <n v="16.829999999999998"/>
    <x v="1"/>
    <d v="1899-12-30T08:08:00"/>
  </r>
  <r>
    <n v="10466"/>
    <x v="0"/>
    <s v="Credit"/>
    <n v="85660114"/>
    <s v="Email"/>
    <n v="23.89"/>
    <x v="1"/>
    <d v="1899-12-30T00:00:00"/>
  </r>
  <r>
    <n v="10467"/>
    <x v="3"/>
    <s v="Credit"/>
    <n v="43913307"/>
    <s v="Web"/>
    <n v="16.73"/>
    <x v="0"/>
    <d v="1899-12-30T19:20:00"/>
  </r>
  <r>
    <n v="10468"/>
    <x v="3"/>
    <s v="Credit"/>
    <n v="47286881"/>
    <s v="Email"/>
    <n v="22.05"/>
    <x v="0"/>
    <d v="1899-12-30T10:27:00"/>
  </r>
  <r>
    <n v="10469"/>
    <x v="2"/>
    <s v="Paypal"/>
    <n v="62265606"/>
    <s v="Email"/>
    <n v="17.88"/>
    <x v="1"/>
    <d v="1899-12-30T06:06:00"/>
  </r>
  <r>
    <n v="10470"/>
    <x v="1"/>
    <s v="Credit"/>
    <n v="63133211"/>
    <s v="Email"/>
    <n v="15.18"/>
    <x v="0"/>
    <d v="1899-12-30T19:25:00"/>
  </r>
  <r>
    <n v="10471"/>
    <x v="1"/>
    <s v="Paypal"/>
    <n v="24646414"/>
    <s v="Web"/>
    <n v="15.62"/>
    <x v="0"/>
    <d v="1899-12-30T03:03:00"/>
  </r>
  <r>
    <n v="10472"/>
    <x v="2"/>
    <s v="Credit"/>
    <n v="65043803"/>
    <s v="Web"/>
    <n v="20.58"/>
    <x v="0"/>
    <d v="1899-12-30T18:02: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s v="Smart"/>
    <x v="0"/>
    <x v="0"/>
    <n v="4"/>
    <n v="4"/>
  </r>
  <r>
    <x v="0"/>
    <x v="0"/>
    <s v="Smart"/>
    <x v="0"/>
    <x v="0"/>
    <n v="4"/>
    <n v="2"/>
  </r>
  <r>
    <x v="0"/>
    <x v="0"/>
    <s v="Smart"/>
    <x v="1"/>
    <x v="1"/>
    <n v="4"/>
    <n v="4"/>
  </r>
  <r>
    <x v="0"/>
    <x v="0"/>
    <s v="Smart"/>
    <x v="2"/>
    <x v="2"/>
    <n v="3"/>
    <n v="3"/>
  </r>
  <r>
    <x v="0"/>
    <x v="0"/>
    <s v="Smart"/>
    <x v="2"/>
    <x v="0"/>
    <n v="5"/>
    <n v="2"/>
  </r>
  <r>
    <x v="0"/>
    <x v="0"/>
    <s v="Smart"/>
    <x v="2"/>
    <x v="1"/>
    <n v="3"/>
    <n v="5"/>
  </r>
  <r>
    <x v="0"/>
    <x v="0"/>
    <s v="Smart"/>
    <x v="2"/>
    <x v="3"/>
    <n v="4"/>
    <n v="4"/>
  </r>
  <r>
    <x v="1"/>
    <x v="0"/>
    <s v="Smart"/>
    <x v="2"/>
    <x v="3"/>
    <n v="2"/>
    <n v="3"/>
  </r>
  <r>
    <x v="1"/>
    <x v="0"/>
    <s v="Smart"/>
    <x v="2"/>
    <x v="1"/>
    <n v="3"/>
    <n v="4"/>
  </r>
  <r>
    <x v="0"/>
    <x v="0"/>
    <s v="Smart"/>
    <x v="2"/>
    <x v="3"/>
    <n v="3"/>
    <n v="1"/>
  </r>
  <r>
    <x v="0"/>
    <x v="1"/>
    <s v="Smart"/>
    <x v="1"/>
    <x v="4"/>
    <n v="2"/>
    <n v="4"/>
  </r>
  <r>
    <x v="0"/>
    <x v="2"/>
    <s v="Smart"/>
    <x v="2"/>
    <x v="3"/>
    <n v="5"/>
    <n v="4"/>
  </r>
  <r>
    <x v="0"/>
    <x v="2"/>
    <s v="Smart"/>
    <x v="2"/>
    <x v="3"/>
    <n v="5"/>
    <n v="3"/>
  </r>
  <r>
    <x v="1"/>
    <x v="2"/>
    <s v="Smart"/>
    <x v="1"/>
    <x v="2"/>
    <n v="5"/>
    <n v="4"/>
  </r>
  <r>
    <x v="1"/>
    <x v="2"/>
    <s v="Smart"/>
    <x v="1"/>
    <x v="3"/>
    <n v="5"/>
    <n v="4"/>
  </r>
  <r>
    <x v="0"/>
    <x v="3"/>
    <s v="Smart"/>
    <x v="1"/>
    <x v="1"/>
    <n v="3"/>
    <n v="3"/>
  </r>
  <r>
    <x v="1"/>
    <x v="3"/>
    <s v="Smart"/>
    <x v="2"/>
    <x v="1"/>
    <n v="3"/>
    <n v="2"/>
  </r>
  <r>
    <x v="0"/>
    <x v="3"/>
    <s v="Smart"/>
    <x v="2"/>
    <x v="0"/>
    <n v="5"/>
    <n v="5"/>
  </r>
  <r>
    <x v="1"/>
    <x v="3"/>
    <s v="Smart"/>
    <x v="1"/>
    <x v="3"/>
    <n v="3"/>
    <n v="3"/>
  </r>
  <r>
    <x v="0"/>
    <x v="3"/>
    <s v="Smart"/>
    <x v="2"/>
    <x v="1"/>
    <n v="4"/>
    <n v="2"/>
  </r>
  <r>
    <x v="1"/>
    <x v="3"/>
    <s v="Smart"/>
    <x v="2"/>
    <x v="1"/>
    <n v="5"/>
    <n v="3"/>
  </r>
  <r>
    <x v="0"/>
    <x v="0"/>
    <s v="Camera"/>
    <x v="1"/>
    <x v="0"/>
    <n v="4"/>
    <n v="5"/>
  </r>
  <r>
    <x v="0"/>
    <x v="0"/>
    <s v="Camera"/>
    <x v="2"/>
    <x v="2"/>
    <n v="1"/>
    <n v="3"/>
  </r>
  <r>
    <x v="0"/>
    <x v="0"/>
    <s v="Camera"/>
    <x v="1"/>
    <x v="2"/>
    <n v="4"/>
    <n v="3"/>
  </r>
  <r>
    <x v="1"/>
    <x v="0"/>
    <s v="Camera"/>
    <x v="2"/>
    <x v="3"/>
    <n v="3"/>
    <n v="3"/>
  </r>
  <r>
    <x v="0"/>
    <x v="0"/>
    <s v="Camera"/>
    <x v="1"/>
    <x v="0"/>
    <n v="5"/>
    <n v="3"/>
  </r>
  <r>
    <x v="1"/>
    <x v="0"/>
    <s v="Camera"/>
    <x v="1"/>
    <x v="1"/>
    <n v="3"/>
    <n v="3"/>
  </r>
  <r>
    <x v="0"/>
    <x v="0"/>
    <s v="Camera"/>
    <x v="1"/>
    <x v="1"/>
    <n v="2"/>
    <n v="4"/>
  </r>
  <r>
    <x v="1"/>
    <x v="0"/>
    <s v="Camera"/>
    <x v="2"/>
    <x v="2"/>
    <n v="4"/>
    <n v="1"/>
  </r>
  <r>
    <x v="1"/>
    <x v="0"/>
    <s v="Camera"/>
    <x v="1"/>
    <x v="2"/>
    <n v="4"/>
    <n v="3"/>
  </r>
  <r>
    <x v="0"/>
    <x v="0"/>
    <s v="Camera"/>
    <x v="1"/>
    <x v="3"/>
    <n v="3"/>
    <n v="4"/>
  </r>
  <r>
    <x v="1"/>
    <x v="0"/>
    <s v="Camera"/>
    <x v="2"/>
    <x v="3"/>
    <n v="2"/>
    <n v="3"/>
  </r>
  <r>
    <x v="0"/>
    <x v="0"/>
    <s v="Camera"/>
    <x v="2"/>
    <x v="1"/>
    <n v="3"/>
    <n v="3"/>
  </r>
  <r>
    <x v="1"/>
    <x v="0"/>
    <s v="Camera"/>
    <x v="3"/>
    <x v="1"/>
    <n v="2"/>
    <n v="3"/>
  </r>
  <r>
    <x v="0"/>
    <x v="1"/>
    <s v="Camera"/>
    <x v="1"/>
    <x v="3"/>
    <n v="3"/>
    <n v="3"/>
  </r>
  <r>
    <x v="1"/>
    <x v="1"/>
    <s v="Camera"/>
    <x v="1"/>
    <x v="2"/>
    <n v="3"/>
    <n v="3"/>
  </r>
  <r>
    <x v="0"/>
    <x v="1"/>
    <s v="Camera"/>
    <x v="1"/>
    <x v="1"/>
    <n v="3"/>
    <n v="4"/>
  </r>
  <r>
    <x v="0"/>
    <x v="2"/>
    <s v="Camera"/>
    <x v="1"/>
    <x v="3"/>
    <n v="4"/>
    <n v="4"/>
  </r>
  <r>
    <x v="1"/>
    <x v="3"/>
    <s v="Camera"/>
    <x v="2"/>
    <x v="3"/>
    <n v="4"/>
    <n v="3"/>
  </r>
  <r>
    <x v="1"/>
    <x v="3"/>
    <s v="Camera"/>
    <x v="2"/>
    <x v="1"/>
    <n v="3"/>
    <n v="1"/>
  </r>
  <r>
    <x v="0"/>
    <x v="0"/>
    <s v="Basic"/>
    <x v="1"/>
    <x v="3"/>
    <n v="3"/>
    <n v="3"/>
  </r>
  <r>
    <x v="0"/>
    <x v="0"/>
    <s v="Basic"/>
    <x v="1"/>
    <x v="3"/>
    <n v="3"/>
    <n v="2"/>
  </r>
  <r>
    <x v="0"/>
    <x v="0"/>
    <s v="Basic"/>
    <x v="3"/>
    <x v="3"/>
    <n v="3"/>
    <n v="3"/>
  </r>
  <r>
    <x v="0"/>
    <x v="1"/>
    <s v="Basic"/>
    <x v="1"/>
    <x v="3"/>
    <n v="3"/>
    <n v="5"/>
  </r>
  <r>
    <x v="0"/>
    <x v="1"/>
    <s v="Basic"/>
    <x v="2"/>
    <x v="1"/>
    <n v="3"/>
    <n v="3"/>
  </r>
  <r>
    <x v="0"/>
    <x v="1"/>
    <s v="Basic"/>
    <x v="2"/>
    <x v="4"/>
    <n v="3"/>
    <n v="4"/>
  </r>
  <r>
    <x v="0"/>
    <x v="1"/>
    <s v="Basic"/>
    <x v="3"/>
    <x v="1"/>
    <n v="4"/>
    <n v="2"/>
  </r>
  <r>
    <x v="1"/>
    <x v="1"/>
    <s v="Basic"/>
    <x v="1"/>
    <x v="2"/>
    <n v="3"/>
    <n v="3"/>
  </r>
  <r>
    <x v="1"/>
    <x v="4"/>
    <s v="Basic"/>
    <x v="3"/>
    <x v="3"/>
    <n v="4"/>
    <n v="4"/>
  </r>
  <r>
    <x v="0"/>
    <x v="4"/>
    <s v="Basic"/>
    <x v="1"/>
    <x v="3"/>
    <n v="4"/>
    <n v="3"/>
  </r>
  <r>
    <x v="0"/>
    <x v="3"/>
    <s v="Basic"/>
    <x v="3"/>
    <x v="3"/>
    <n v="3"/>
    <n v="4"/>
  </r>
  <r>
    <x v="0"/>
    <x v="3"/>
    <s v="Basic"/>
    <x v="1"/>
    <x v="1"/>
    <n v="2"/>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F92092-19B7-4DED-9D1C-79354A24CA3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6" firstHeaderRow="0" firstDataRow="1" firstDataCol="1"/>
  <pivotFields count="8">
    <pivotField showAll="0"/>
    <pivotField axis="axisRow" showAll="0">
      <items count="5">
        <item x="0"/>
        <item x="2"/>
        <item x="3"/>
        <item x="1"/>
        <item t="default"/>
      </items>
    </pivotField>
    <pivotField showAll="0"/>
    <pivotField showAll="0"/>
    <pivotField showAll="0"/>
    <pivotField dataField="1" showAll="0"/>
    <pivotField axis="axisRow" showAll="0">
      <items count="3">
        <item x="1"/>
        <item x="0"/>
        <item t="default"/>
      </items>
    </pivotField>
    <pivotField numFmtId="20" showAll="0"/>
  </pivotFields>
  <rowFields count="2">
    <field x="1"/>
    <field x="6"/>
  </rowFields>
  <rowItems count="13">
    <i>
      <x/>
    </i>
    <i r="1">
      <x/>
    </i>
    <i r="1">
      <x v="1"/>
    </i>
    <i>
      <x v="1"/>
    </i>
    <i r="1">
      <x/>
    </i>
    <i r="1">
      <x v="1"/>
    </i>
    <i>
      <x v="2"/>
    </i>
    <i r="1">
      <x/>
    </i>
    <i r="1">
      <x v="1"/>
    </i>
    <i>
      <x v="3"/>
    </i>
    <i r="1">
      <x/>
    </i>
    <i r="1">
      <x v="1"/>
    </i>
    <i t="grand">
      <x/>
    </i>
  </rowItems>
  <colFields count="1">
    <field x="-2"/>
  </colFields>
  <colItems count="2">
    <i>
      <x/>
    </i>
    <i i="1">
      <x v="1"/>
    </i>
  </colItems>
  <dataFields count="2">
    <dataField name="Count of transactions" fld="5" subtotal="count" baseField="1" baseItem="0"/>
    <dataField name="Sum of Amount" fld="5" baseField="0" baseItem="0"/>
  </dataField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1DFC44-356A-40BD-A16C-4E304D3550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6:L19" firstHeaderRow="0" firstDataRow="1" firstDataCol="1"/>
  <pivotFields count="8">
    <pivotField showAll="0"/>
    <pivotField axis="axisRow" showAll="0">
      <items count="5">
        <item x="0"/>
        <item x="2"/>
        <item x="3"/>
        <item x="1"/>
        <item t="default"/>
      </items>
    </pivotField>
    <pivotField showAll="0"/>
    <pivotField showAll="0"/>
    <pivotField showAll="0"/>
    <pivotField dataField="1" showAll="0"/>
    <pivotField axis="axisRow" showAll="0">
      <items count="3">
        <item x="1"/>
        <item x="0"/>
        <item t="default"/>
      </items>
    </pivotField>
    <pivotField numFmtId="20" showAll="0"/>
  </pivotFields>
  <rowFields count="2">
    <field x="1"/>
    <field x="6"/>
  </rowFields>
  <rowItems count="13">
    <i>
      <x/>
    </i>
    <i r="1">
      <x/>
    </i>
    <i r="1">
      <x v="1"/>
    </i>
    <i>
      <x v="1"/>
    </i>
    <i r="1">
      <x/>
    </i>
    <i r="1">
      <x v="1"/>
    </i>
    <i>
      <x v="2"/>
    </i>
    <i r="1">
      <x/>
    </i>
    <i r="1">
      <x v="1"/>
    </i>
    <i>
      <x v="3"/>
    </i>
    <i r="1">
      <x/>
    </i>
    <i r="1">
      <x v="1"/>
    </i>
    <i t="grand">
      <x/>
    </i>
  </rowItems>
  <colFields count="1">
    <field x="-2"/>
  </colFields>
  <colItems count="2">
    <i>
      <x/>
    </i>
    <i i="1">
      <x v="1"/>
    </i>
  </colItems>
  <dataFields count="2">
    <dataField name="Count of transactions" fld="5" subtotal="count" baseField="1" baseItem="0"/>
    <dataField name="Sum of Amount" fld="5" baseField="0" baseItem="0"/>
  </dataField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6E26BA-647B-45E4-B40A-F3F226BDE02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7" firstHeaderRow="1" firstDataRow="1" firstDataCol="1"/>
  <pivotFields count="7">
    <pivotField showAll="0"/>
    <pivotField axis="axisRow" showAll="0">
      <items count="6">
        <item x="0"/>
        <item x="1"/>
        <item x="2"/>
        <item x="4"/>
        <item x="3"/>
        <item t="default"/>
      </items>
    </pivotField>
    <pivotField showAll="0"/>
    <pivotField showAll="0"/>
    <pivotField dataField="1" showAll="0">
      <items count="6">
        <item x="4"/>
        <item x="2"/>
        <item x="3"/>
        <item x="1"/>
        <item x="0"/>
        <item t="default"/>
      </items>
    </pivotField>
    <pivotField showAll="0"/>
    <pivotField showAll="0"/>
  </pivotFields>
  <rowFields count="1">
    <field x="1"/>
  </rowFields>
  <rowItems count="6">
    <i>
      <x/>
    </i>
    <i>
      <x v="1"/>
    </i>
    <i>
      <x v="2"/>
    </i>
    <i>
      <x v="3"/>
    </i>
    <i>
      <x v="4"/>
    </i>
    <i t="grand">
      <x/>
    </i>
  </rowItems>
  <colItems count="1">
    <i/>
  </colItems>
  <dataFields count="1">
    <dataField name="Average of Signal strength" fld="4" subtotal="average"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4CF89B-92F5-4852-892F-4DE9C0F14A0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21" firstHeaderRow="1" firstDataRow="1" firstDataCol="1"/>
  <pivotFields count="7">
    <pivotField showAll="0"/>
    <pivotField axis="axisRow" showAll="0">
      <items count="6">
        <item x="0"/>
        <item x="1"/>
        <item x="2"/>
        <item x="4"/>
        <item x="3"/>
        <item t="default"/>
      </items>
    </pivotField>
    <pivotField showAll="0"/>
    <pivotField axis="axisRow" showAll="0">
      <items count="5">
        <item x="1"/>
        <item x="0"/>
        <item x="3"/>
        <item x="2"/>
        <item t="default"/>
      </items>
    </pivotField>
    <pivotField showAll="0"/>
    <pivotField dataField="1" showAll="0"/>
    <pivotField showAll="0"/>
  </pivotFields>
  <rowFields count="2">
    <field x="1"/>
    <field x="3"/>
  </rowFields>
  <rowItems count="20">
    <i>
      <x/>
    </i>
    <i r="1">
      <x/>
    </i>
    <i r="1">
      <x v="1"/>
    </i>
    <i r="1">
      <x v="2"/>
    </i>
    <i r="1">
      <x v="3"/>
    </i>
    <i>
      <x v="1"/>
    </i>
    <i r="1">
      <x/>
    </i>
    <i r="1">
      <x v="2"/>
    </i>
    <i r="1">
      <x v="3"/>
    </i>
    <i>
      <x v="2"/>
    </i>
    <i r="1">
      <x/>
    </i>
    <i r="1">
      <x v="3"/>
    </i>
    <i>
      <x v="3"/>
    </i>
    <i r="1">
      <x/>
    </i>
    <i r="1">
      <x v="2"/>
    </i>
    <i>
      <x v="4"/>
    </i>
    <i r="1">
      <x/>
    </i>
    <i r="1">
      <x v="2"/>
    </i>
    <i r="1">
      <x v="3"/>
    </i>
    <i t="grand">
      <x/>
    </i>
  </rowItems>
  <colItems count="1">
    <i/>
  </colItems>
  <dataFields count="1">
    <dataField name="Average of Value for the Dollar" fld="5" subtotal="average"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A917E7-0685-4BA6-B703-E39740F04C1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7" firstHeaderRow="1" firstDataRow="1" firstDataCol="1"/>
  <pivotFields count="7">
    <pivotField axis="axisRow" showAll="0">
      <items count="3">
        <item x="1"/>
        <item x="0"/>
        <item t="default"/>
      </items>
    </pivotField>
    <pivotField axis="axisRow" showAll="0">
      <items count="6">
        <item x="0"/>
        <item x="1"/>
        <item x="2"/>
        <item x="4"/>
        <item x="3"/>
        <item t="default"/>
      </items>
    </pivotField>
    <pivotField showAll="0"/>
    <pivotField showAll="0"/>
    <pivotField showAll="0"/>
    <pivotField showAll="0"/>
    <pivotField dataField="1" showAll="0"/>
  </pivotFields>
  <rowFields count="2">
    <field x="1"/>
    <field x="0"/>
  </rowFields>
  <rowItems count="16">
    <i>
      <x/>
    </i>
    <i r="1">
      <x/>
    </i>
    <i r="1">
      <x v="1"/>
    </i>
    <i>
      <x v="1"/>
    </i>
    <i r="1">
      <x/>
    </i>
    <i r="1">
      <x v="1"/>
    </i>
    <i>
      <x v="2"/>
    </i>
    <i r="1">
      <x/>
    </i>
    <i r="1">
      <x v="1"/>
    </i>
    <i>
      <x v="3"/>
    </i>
    <i r="1">
      <x/>
    </i>
    <i r="1">
      <x v="1"/>
    </i>
    <i>
      <x v="4"/>
    </i>
    <i r="1">
      <x/>
    </i>
    <i r="1">
      <x v="1"/>
    </i>
    <i t="grand">
      <x/>
    </i>
  </rowItems>
  <colItems count="1">
    <i/>
  </colItems>
  <dataFields count="1">
    <dataField name="Var of Customer Service" fld="6" subtotal="var"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9F39B1-579B-44E6-A4BF-05F3FDF2958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rrier &amp; Usage">
  <location ref="I23:J43" firstHeaderRow="1" firstDataRow="1" firstDataCol="1"/>
  <pivotFields count="7">
    <pivotField showAll="0"/>
    <pivotField axis="axisRow" showAll="0">
      <items count="6">
        <item x="0"/>
        <item x="1"/>
        <item x="2"/>
        <item x="4"/>
        <item x="3"/>
        <item t="default"/>
      </items>
    </pivotField>
    <pivotField showAll="0"/>
    <pivotField axis="axisRow" showAll="0">
      <items count="5">
        <item x="1"/>
        <item x="0"/>
        <item x="3"/>
        <item x="2"/>
        <item t="default"/>
      </items>
    </pivotField>
    <pivotField showAll="0"/>
    <pivotField dataField="1" showAll="0"/>
    <pivotField showAll="0"/>
  </pivotFields>
  <rowFields count="2">
    <field x="1"/>
    <field x="3"/>
  </rowFields>
  <rowItems count="20">
    <i>
      <x/>
    </i>
    <i r="1">
      <x/>
    </i>
    <i r="1">
      <x v="1"/>
    </i>
    <i r="1">
      <x v="2"/>
    </i>
    <i r="1">
      <x v="3"/>
    </i>
    <i>
      <x v="1"/>
    </i>
    <i r="1">
      <x/>
    </i>
    <i r="1">
      <x v="2"/>
    </i>
    <i r="1">
      <x v="3"/>
    </i>
    <i>
      <x v="2"/>
    </i>
    <i r="1">
      <x/>
    </i>
    <i r="1">
      <x v="3"/>
    </i>
    <i>
      <x v="3"/>
    </i>
    <i r="1">
      <x/>
    </i>
    <i r="1">
      <x v="2"/>
    </i>
    <i>
      <x v="4"/>
    </i>
    <i r="1">
      <x/>
    </i>
    <i r="1">
      <x v="2"/>
    </i>
    <i r="1">
      <x v="3"/>
    </i>
    <i t="grand">
      <x/>
    </i>
  </rowItems>
  <colItems count="1">
    <i/>
  </colItems>
  <dataFields count="1">
    <dataField name="Average of Value for the Dollar" fld="5" subtotal="average"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8278DF-046B-4B75-9E3B-6C41E79240D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rrier">
  <location ref="I6:J12" firstHeaderRow="1" firstDataRow="1" firstDataCol="1"/>
  <pivotFields count="7">
    <pivotField showAll="0"/>
    <pivotField axis="axisRow" showAll="0">
      <items count="6">
        <item x="0"/>
        <item x="1"/>
        <item x="2"/>
        <item x="4"/>
        <item x="3"/>
        <item t="default"/>
      </items>
    </pivotField>
    <pivotField showAll="0"/>
    <pivotField showAll="0"/>
    <pivotField dataField="1" showAll="0">
      <items count="6">
        <item x="4"/>
        <item x="2"/>
        <item x="3"/>
        <item x="1"/>
        <item x="0"/>
        <item t="default"/>
      </items>
    </pivotField>
    <pivotField showAll="0"/>
    <pivotField showAll="0"/>
  </pivotFields>
  <rowFields count="1">
    <field x="1"/>
  </rowFields>
  <rowItems count="6">
    <i>
      <x/>
    </i>
    <i>
      <x v="1"/>
    </i>
    <i>
      <x v="2"/>
    </i>
    <i>
      <x v="3"/>
    </i>
    <i>
      <x v="4"/>
    </i>
    <i t="grand">
      <x/>
    </i>
  </rowItems>
  <colItems count="1">
    <i/>
  </colItems>
  <dataFields count="1">
    <dataField name="Average of Signal strength" fld="4" subtotal="average"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57F87A-0762-4286-BCE7-B7B30ADAA84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47:J63" firstHeaderRow="1" firstDataRow="1" firstDataCol="1"/>
  <pivotFields count="7">
    <pivotField axis="axisRow" showAll="0">
      <items count="3">
        <item x="1"/>
        <item x="0"/>
        <item t="default"/>
      </items>
    </pivotField>
    <pivotField axis="axisRow" showAll="0">
      <items count="6">
        <item x="0"/>
        <item x="1"/>
        <item x="2"/>
        <item x="4"/>
        <item x="3"/>
        <item t="default"/>
      </items>
    </pivotField>
    <pivotField showAll="0"/>
    <pivotField showAll="0"/>
    <pivotField showAll="0"/>
    <pivotField showAll="0"/>
    <pivotField dataField="1" showAll="0"/>
  </pivotFields>
  <rowFields count="2">
    <field x="1"/>
    <field x="0"/>
  </rowFields>
  <rowItems count="16">
    <i>
      <x/>
    </i>
    <i r="1">
      <x/>
    </i>
    <i r="1">
      <x v="1"/>
    </i>
    <i>
      <x v="1"/>
    </i>
    <i r="1">
      <x/>
    </i>
    <i r="1">
      <x v="1"/>
    </i>
    <i>
      <x v="2"/>
    </i>
    <i r="1">
      <x/>
    </i>
    <i r="1">
      <x v="1"/>
    </i>
    <i>
      <x v="3"/>
    </i>
    <i r="1">
      <x/>
    </i>
    <i r="1">
      <x v="1"/>
    </i>
    <i>
      <x v="4"/>
    </i>
    <i r="1">
      <x/>
    </i>
    <i r="1">
      <x v="1"/>
    </i>
    <i t="grand">
      <x/>
    </i>
  </rowItems>
  <colItems count="1">
    <i/>
  </colItems>
  <dataFields count="1">
    <dataField name="Var of Customer Service" fld="6" subtotal="var"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
  <sheetViews>
    <sheetView topLeftCell="A25" zoomScale="60" workbookViewId="0">
      <selection activeCell="O10" sqref="O10"/>
    </sheetView>
  </sheetViews>
  <sheetFormatPr defaultRowHeight="15"/>
  <sheetData>
    <row r="1" spans="1:6">
      <c r="A1" s="5" t="s">
        <v>0</v>
      </c>
      <c r="B1" s="5"/>
      <c r="C1" s="5"/>
      <c r="D1" s="1"/>
      <c r="E1" s="1"/>
      <c r="F1" s="1"/>
    </row>
    <row r="2" spans="1:6">
      <c r="A2" s="5" t="s">
        <v>1</v>
      </c>
      <c r="B2" s="5"/>
      <c r="C2" s="5"/>
      <c r="D2" s="1"/>
      <c r="E2" s="1"/>
      <c r="F2" s="1"/>
    </row>
    <row r="4" spans="1:6">
      <c r="A4" s="2" t="s">
        <v>2</v>
      </c>
    </row>
    <row r="6" spans="1:6" ht="15.75" thickBot="1">
      <c r="A6" s="3" t="s">
        <v>3</v>
      </c>
      <c r="B6" s="3" t="s">
        <v>4</v>
      </c>
      <c r="C6" s="3" t="s">
        <v>5</v>
      </c>
      <c r="D6" s="3" t="s">
        <v>6</v>
      </c>
    </row>
    <row r="7" spans="1:6" ht="15.75" thickTop="1">
      <c r="A7" s="4">
        <v>1</v>
      </c>
      <c r="B7" s="4" t="s">
        <v>7</v>
      </c>
      <c r="C7" s="4">
        <v>4</v>
      </c>
      <c r="D7" s="4">
        <v>150</v>
      </c>
    </row>
    <row r="8" spans="1:6">
      <c r="A8" s="4">
        <v>2</v>
      </c>
      <c r="B8" s="4" t="s">
        <v>7</v>
      </c>
      <c r="C8" s="4">
        <v>10</v>
      </c>
      <c r="D8" s="4">
        <v>400</v>
      </c>
    </row>
    <row r="9" spans="1:6">
      <c r="A9" s="4">
        <v>3</v>
      </c>
      <c r="B9" s="4" t="s">
        <v>8</v>
      </c>
      <c r="C9" s="4">
        <v>7</v>
      </c>
      <c r="D9" s="4">
        <v>120</v>
      </c>
    </row>
    <row r="10" spans="1:6">
      <c r="A10" s="4">
        <v>4</v>
      </c>
      <c r="B10" s="4" t="s">
        <v>8</v>
      </c>
      <c r="C10" s="4">
        <v>15</v>
      </c>
      <c r="D10" s="4">
        <v>500</v>
      </c>
    </row>
    <row r="11" spans="1:6">
      <c r="A11" s="4">
        <v>5</v>
      </c>
      <c r="B11" s="4" t="s">
        <v>7</v>
      </c>
      <c r="C11" s="4">
        <v>9</v>
      </c>
      <c r="D11" s="4">
        <v>260</v>
      </c>
    </row>
    <row r="12" spans="1:6">
      <c r="A12" s="4">
        <v>6</v>
      </c>
      <c r="B12" s="4" t="s">
        <v>7</v>
      </c>
      <c r="C12" s="4">
        <v>5</v>
      </c>
      <c r="D12" s="4">
        <v>70</v>
      </c>
    </row>
    <row r="13" spans="1:6">
      <c r="A13" s="4">
        <v>7</v>
      </c>
      <c r="B13" s="4" t="s">
        <v>7</v>
      </c>
      <c r="C13" s="4">
        <v>7</v>
      </c>
      <c r="D13" s="4">
        <v>90</v>
      </c>
    </row>
    <row r="14" spans="1:6">
      <c r="A14" s="4">
        <v>8</v>
      </c>
      <c r="B14" s="4" t="s">
        <v>8</v>
      </c>
      <c r="C14" s="4">
        <v>5</v>
      </c>
      <c r="D14" s="4">
        <v>250</v>
      </c>
    </row>
    <row r="15" spans="1:6">
      <c r="A15" s="4">
        <v>9</v>
      </c>
      <c r="B15" s="4" t="s">
        <v>7</v>
      </c>
      <c r="C15" s="4">
        <v>12</v>
      </c>
      <c r="D15" s="4">
        <v>110</v>
      </c>
    </row>
    <row r="16" spans="1:6">
      <c r="A16" s="4">
        <v>10</v>
      </c>
      <c r="B16" s="4" t="s">
        <v>7</v>
      </c>
      <c r="C16" s="4">
        <v>2</v>
      </c>
      <c r="D16" s="4">
        <v>30</v>
      </c>
    </row>
    <row r="17" spans="1:4">
      <c r="A17" s="4">
        <v>11</v>
      </c>
      <c r="B17" s="4" t="s">
        <v>7</v>
      </c>
      <c r="C17" s="4">
        <v>6</v>
      </c>
      <c r="D17" s="4">
        <v>80</v>
      </c>
    </row>
    <row r="18" spans="1:4">
      <c r="A18" s="4">
        <v>12</v>
      </c>
      <c r="B18" s="4" t="s">
        <v>7</v>
      </c>
      <c r="C18" s="4">
        <v>2</v>
      </c>
      <c r="D18" s="4">
        <v>30</v>
      </c>
    </row>
    <row r="19" spans="1:4">
      <c r="A19" s="4">
        <v>13</v>
      </c>
      <c r="B19" s="4" t="s">
        <v>8</v>
      </c>
      <c r="C19" s="4">
        <v>3</v>
      </c>
      <c r="D19" s="4">
        <v>200</v>
      </c>
    </row>
    <row r="20" spans="1:4">
      <c r="A20" s="4">
        <v>14</v>
      </c>
      <c r="B20" s="4" t="s">
        <v>7</v>
      </c>
      <c r="C20" s="4">
        <v>6</v>
      </c>
      <c r="D20" s="4">
        <v>240</v>
      </c>
    </row>
    <row r="21" spans="1:4">
      <c r="A21" s="4">
        <v>15</v>
      </c>
      <c r="B21" s="4" t="s">
        <v>8</v>
      </c>
      <c r="C21" s="4">
        <v>6</v>
      </c>
      <c r="D21" s="4">
        <v>150</v>
      </c>
    </row>
    <row r="22" spans="1:4">
      <c r="A22" s="4">
        <v>16</v>
      </c>
      <c r="B22" s="4" t="s">
        <v>8</v>
      </c>
      <c r="C22" s="4">
        <v>4</v>
      </c>
      <c r="D22" s="4">
        <v>90</v>
      </c>
    </row>
    <row r="23" spans="1:4">
      <c r="A23" s="4">
        <v>17</v>
      </c>
      <c r="B23" s="4" t="s">
        <v>7</v>
      </c>
      <c r="C23" s="4">
        <v>8</v>
      </c>
      <c r="D23" s="4">
        <v>340</v>
      </c>
    </row>
    <row r="24" spans="1:4">
      <c r="A24" s="4">
        <v>18</v>
      </c>
      <c r="B24" s="4" t="s">
        <v>8</v>
      </c>
      <c r="C24" s="4">
        <v>10</v>
      </c>
      <c r="D24" s="4">
        <v>450</v>
      </c>
    </row>
    <row r="25" spans="1:4">
      <c r="A25" s="4">
        <v>19</v>
      </c>
      <c r="B25" s="4" t="s">
        <v>7</v>
      </c>
      <c r="C25" s="4">
        <v>4</v>
      </c>
      <c r="D25" s="4">
        <v>50</v>
      </c>
    </row>
    <row r="26" spans="1:4">
      <c r="A26" s="4">
        <v>20</v>
      </c>
      <c r="B26" s="4" t="s">
        <v>8</v>
      </c>
      <c r="C26" s="4">
        <v>4</v>
      </c>
      <c r="D26" s="4">
        <v>120</v>
      </c>
    </row>
    <row r="27" spans="1:4">
      <c r="A27" s="4">
        <v>21</v>
      </c>
      <c r="B27" s="4" t="s">
        <v>8</v>
      </c>
      <c r="C27" s="4">
        <v>6</v>
      </c>
      <c r="D27" s="4">
        <v>180</v>
      </c>
    </row>
    <row r="28" spans="1:4">
      <c r="A28" s="4">
        <v>22</v>
      </c>
      <c r="B28" s="4" t="s">
        <v>7</v>
      </c>
      <c r="C28" s="4">
        <v>4</v>
      </c>
      <c r="D28" s="4">
        <v>280</v>
      </c>
    </row>
    <row r="29" spans="1:4">
      <c r="A29" s="4">
        <v>23</v>
      </c>
      <c r="B29" s="4" t="s">
        <v>7</v>
      </c>
      <c r="C29" s="4">
        <v>5</v>
      </c>
      <c r="D29" s="4">
        <v>60</v>
      </c>
    </row>
    <row r="30" spans="1:4">
      <c r="A30" s="4">
        <v>24</v>
      </c>
      <c r="B30" s="4" t="s">
        <v>7</v>
      </c>
      <c r="C30" s="4">
        <v>9</v>
      </c>
      <c r="D30" s="4">
        <v>100</v>
      </c>
    </row>
    <row r="31" spans="1:4">
      <c r="A31" s="4">
        <v>25</v>
      </c>
      <c r="B31" s="4" t="s">
        <v>7</v>
      </c>
      <c r="C31" s="4">
        <v>12</v>
      </c>
      <c r="D31" s="4">
        <v>380</v>
      </c>
    </row>
    <row r="32" spans="1:4">
      <c r="A32" s="4">
        <v>26</v>
      </c>
      <c r="B32" s="4" t="s">
        <v>8</v>
      </c>
      <c r="C32" s="4">
        <v>8</v>
      </c>
      <c r="D32" s="4">
        <v>430</v>
      </c>
    </row>
    <row r="33" spans="1:4">
      <c r="A33" s="4">
        <v>27</v>
      </c>
      <c r="B33" s="4" t="s">
        <v>7</v>
      </c>
      <c r="C33" s="4">
        <v>2</v>
      </c>
      <c r="D33" s="4">
        <v>80</v>
      </c>
    </row>
    <row r="34" spans="1:4">
      <c r="A34" s="4">
        <v>28</v>
      </c>
      <c r="B34" s="4" t="s">
        <v>7</v>
      </c>
      <c r="C34" s="4">
        <v>7</v>
      </c>
      <c r="D34" s="4">
        <v>170</v>
      </c>
    </row>
    <row r="35" spans="1:4">
      <c r="A35" s="4">
        <v>29</v>
      </c>
      <c r="B35" s="4" t="s">
        <v>8</v>
      </c>
      <c r="C35" s="4">
        <v>6</v>
      </c>
      <c r="D35" s="4">
        <v>90</v>
      </c>
    </row>
    <row r="36" spans="1:4">
      <c r="A36" s="4">
        <v>30</v>
      </c>
      <c r="B36" s="4" t="s">
        <v>8</v>
      </c>
      <c r="C36" s="4">
        <v>4</v>
      </c>
      <c r="D36" s="4">
        <v>50</v>
      </c>
    </row>
    <row r="37" spans="1:4">
      <c r="A37" s="4">
        <v>31</v>
      </c>
      <c r="B37" s="4" t="s">
        <v>7</v>
      </c>
      <c r="C37" s="4">
        <v>2</v>
      </c>
      <c r="D37" s="4">
        <v>50</v>
      </c>
    </row>
    <row r="38" spans="1:4">
      <c r="A38" s="4">
        <v>32</v>
      </c>
      <c r="B38" s="4" t="s">
        <v>8</v>
      </c>
      <c r="C38" s="4">
        <v>5</v>
      </c>
      <c r="D38" s="4">
        <v>70</v>
      </c>
    </row>
    <row r="39" spans="1:4">
      <c r="A39" s="4">
        <v>33</v>
      </c>
      <c r="B39" s="4" t="s">
        <v>7</v>
      </c>
      <c r="C39" s="4">
        <v>7</v>
      </c>
      <c r="D39" s="4">
        <v>170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3FBC8-2516-4536-B9B7-DE40516F7199}">
  <dimension ref="A1:I102"/>
  <sheetViews>
    <sheetView workbookViewId="0">
      <selection activeCell="G36" sqref="G36"/>
    </sheetView>
  </sheetViews>
  <sheetFormatPr defaultRowHeight="15"/>
  <cols>
    <col min="1" max="1" width="3" style="7" bestFit="1" customWidth="1"/>
    <col min="2" max="2" width="9.42578125" style="7" bestFit="1" customWidth="1"/>
    <col min="3" max="3" width="13.140625" style="7" bestFit="1" customWidth="1"/>
    <col min="4" max="4" width="8.42578125" style="7" bestFit="1" customWidth="1"/>
    <col min="5" max="5" width="25.7109375" style="7" bestFit="1" customWidth="1"/>
    <col min="6" max="6" width="9.7109375" style="7" bestFit="1" customWidth="1"/>
    <col min="7" max="7" width="10.140625" style="7" bestFit="1" customWidth="1"/>
    <col min="8" max="8" width="13.140625" style="7" bestFit="1" customWidth="1"/>
    <col min="9" max="9" width="19.140625" style="7" customWidth="1"/>
  </cols>
  <sheetData>
    <row r="1" spans="1:9">
      <c r="A1" s="5" t="s">
        <v>0</v>
      </c>
      <c r="B1" s="5"/>
      <c r="C1" s="5"/>
    </row>
    <row r="2" spans="1:9">
      <c r="A2" s="5" t="s">
        <v>9</v>
      </c>
      <c r="B2" s="5"/>
      <c r="C2" s="5"/>
    </row>
    <row r="4" spans="1:9">
      <c r="A4" s="6" t="s">
        <v>10</v>
      </c>
    </row>
    <row r="6" spans="1:9" ht="15.75" thickBot="1">
      <c r="A6" s="8" t="s">
        <v>11</v>
      </c>
      <c r="B6" s="8" t="s">
        <v>12</v>
      </c>
      <c r="C6" s="8" t="s">
        <v>13</v>
      </c>
      <c r="D6" s="8" t="s">
        <v>14</v>
      </c>
      <c r="E6" s="8" t="s">
        <v>15</v>
      </c>
      <c r="F6" s="8" t="s">
        <v>16</v>
      </c>
      <c r="G6" s="8" t="s">
        <v>17</v>
      </c>
      <c r="H6" s="8" t="s">
        <v>18</v>
      </c>
      <c r="I6" s="17"/>
    </row>
    <row r="7" spans="1:9" ht="15.75" thickTop="1">
      <c r="A7" s="9">
        <v>1</v>
      </c>
      <c r="B7" s="9">
        <v>1</v>
      </c>
      <c r="C7" s="10" t="s">
        <v>19</v>
      </c>
      <c r="D7" s="9">
        <v>2005</v>
      </c>
      <c r="E7" s="10" t="s">
        <v>20</v>
      </c>
      <c r="F7" s="11">
        <v>229</v>
      </c>
      <c r="G7" s="9">
        <v>28</v>
      </c>
      <c r="H7" s="12" t="s">
        <v>21</v>
      </c>
    </row>
    <row r="8" spans="1:9">
      <c r="A8" s="13">
        <v>2</v>
      </c>
      <c r="B8" s="13">
        <v>1</v>
      </c>
      <c r="C8" s="14" t="s">
        <v>19</v>
      </c>
      <c r="D8" s="13">
        <v>2005</v>
      </c>
      <c r="E8" s="14" t="s">
        <v>20</v>
      </c>
      <c r="F8" s="15">
        <v>229</v>
      </c>
      <c r="G8" s="13">
        <v>30</v>
      </c>
      <c r="H8" s="16" t="s">
        <v>22</v>
      </c>
    </row>
    <row r="9" spans="1:9">
      <c r="A9" s="13">
        <v>3</v>
      </c>
      <c r="B9" s="13">
        <v>1</v>
      </c>
      <c r="C9" s="14" t="s">
        <v>19</v>
      </c>
      <c r="D9" s="13">
        <v>2005</v>
      </c>
      <c r="E9" s="14" t="s">
        <v>20</v>
      </c>
      <c r="F9" s="15">
        <v>229</v>
      </c>
      <c r="G9" s="13">
        <v>9</v>
      </c>
      <c r="H9" s="16" t="s">
        <v>23</v>
      </c>
    </row>
    <row r="10" spans="1:9">
      <c r="A10" s="13">
        <v>4</v>
      </c>
      <c r="B10" s="13">
        <v>1</v>
      </c>
      <c r="C10" s="14" t="s">
        <v>19</v>
      </c>
      <c r="D10" s="13">
        <v>3006</v>
      </c>
      <c r="E10" s="14" t="s">
        <v>24</v>
      </c>
      <c r="F10" s="15">
        <v>19.95</v>
      </c>
      <c r="G10" s="13">
        <v>30</v>
      </c>
      <c r="H10" s="16" t="s">
        <v>21</v>
      </c>
    </row>
    <row r="11" spans="1:9">
      <c r="A11" s="13">
        <v>5</v>
      </c>
      <c r="B11" s="13">
        <v>1</v>
      </c>
      <c r="C11" s="14" t="s">
        <v>19</v>
      </c>
      <c r="D11" s="13">
        <v>3006</v>
      </c>
      <c r="E11" s="14" t="s">
        <v>24</v>
      </c>
      <c r="F11" s="15">
        <v>19.95</v>
      </c>
      <c r="G11" s="13">
        <v>35</v>
      </c>
      <c r="H11" s="16" t="s">
        <v>22</v>
      </c>
    </row>
    <row r="12" spans="1:9">
      <c r="A12" s="13">
        <v>6</v>
      </c>
      <c r="B12" s="13">
        <v>1</v>
      </c>
      <c r="C12" s="14" t="s">
        <v>19</v>
      </c>
      <c r="D12" s="13">
        <v>3006</v>
      </c>
      <c r="E12" s="14" t="s">
        <v>24</v>
      </c>
      <c r="F12" s="15">
        <v>19.95</v>
      </c>
      <c r="G12" s="13">
        <v>39</v>
      </c>
      <c r="H12" s="16" t="s">
        <v>23</v>
      </c>
    </row>
    <row r="13" spans="1:9">
      <c r="A13" s="13">
        <v>7</v>
      </c>
      <c r="B13" s="13">
        <v>1</v>
      </c>
      <c r="C13" s="14" t="s">
        <v>19</v>
      </c>
      <c r="D13" s="13">
        <v>6050</v>
      </c>
      <c r="E13" s="14" t="s">
        <v>25</v>
      </c>
      <c r="F13" s="15">
        <v>8.9499999999999993</v>
      </c>
      <c r="G13" s="13">
        <v>28</v>
      </c>
      <c r="H13" s="16" t="s">
        <v>21</v>
      </c>
    </row>
    <row r="14" spans="1:9">
      <c r="A14" s="13">
        <v>8</v>
      </c>
      <c r="B14" s="13">
        <v>1</v>
      </c>
      <c r="C14" s="14" t="s">
        <v>19</v>
      </c>
      <c r="D14" s="13">
        <v>6050</v>
      </c>
      <c r="E14" s="14" t="s">
        <v>25</v>
      </c>
      <c r="F14" s="15">
        <v>8.9499999999999993</v>
      </c>
      <c r="G14" s="13">
        <v>3</v>
      </c>
      <c r="H14" s="16" t="s">
        <v>22</v>
      </c>
    </row>
    <row r="15" spans="1:9">
      <c r="A15" s="13">
        <v>9</v>
      </c>
      <c r="B15" s="13">
        <v>1</v>
      </c>
      <c r="C15" s="14" t="s">
        <v>19</v>
      </c>
      <c r="D15" s="13">
        <v>6050</v>
      </c>
      <c r="E15" s="14" t="s">
        <v>25</v>
      </c>
      <c r="F15" s="15">
        <v>8.9499999999999993</v>
      </c>
      <c r="G15" s="13">
        <v>38</v>
      </c>
      <c r="H15" s="16" t="s">
        <v>23</v>
      </c>
    </row>
    <row r="16" spans="1:9">
      <c r="A16" s="13">
        <v>10</v>
      </c>
      <c r="B16" s="13">
        <v>1</v>
      </c>
      <c r="C16" s="14" t="s">
        <v>19</v>
      </c>
      <c r="D16" s="13">
        <v>8500</v>
      </c>
      <c r="E16" s="14" t="s">
        <v>26</v>
      </c>
      <c r="F16" s="15">
        <v>849.95</v>
      </c>
      <c r="G16" s="13">
        <v>25</v>
      </c>
      <c r="H16" s="16" t="s">
        <v>21</v>
      </c>
    </row>
    <row r="17" spans="1:8">
      <c r="A17" s="13">
        <v>11</v>
      </c>
      <c r="B17" s="13">
        <v>1</v>
      </c>
      <c r="C17" s="14" t="s">
        <v>19</v>
      </c>
      <c r="D17" s="13">
        <v>8500</v>
      </c>
      <c r="E17" s="14" t="s">
        <v>26</v>
      </c>
      <c r="F17" s="15">
        <v>849.95</v>
      </c>
      <c r="G17" s="13">
        <v>27</v>
      </c>
      <c r="H17" s="16" t="s">
        <v>22</v>
      </c>
    </row>
    <row r="18" spans="1:8">
      <c r="A18" s="13">
        <v>12</v>
      </c>
      <c r="B18" s="13">
        <v>1</v>
      </c>
      <c r="C18" s="14" t="s">
        <v>19</v>
      </c>
      <c r="D18" s="13">
        <v>8500</v>
      </c>
      <c r="E18" s="14" t="s">
        <v>26</v>
      </c>
      <c r="F18" s="15">
        <v>849.95</v>
      </c>
      <c r="G18" s="13">
        <v>33</v>
      </c>
      <c r="H18" s="16" t="s">
        <v>23</v>
      </c>
    </row>
    <row r="19" spans="1:8">
      <c r="A19" s="13">
        <v>13</v>
      </c>
      <c r="B19" s="13">
        <v>2</v>
      </c>
      <c r="C19" s="14" t="s">
        <v>19</v>
      </c>
      <c r="D19" s="13">
        <v>2005</v>
      </c>
      <c r="E19" s="14" t="s">
        <v>20</v>
      </c>
      <c r="F19" s="15">
        <v>229</v>
      </c>
      <c r="G19" s="13">
        <v>8</v>
      </c>
      <c r="H19" s="16" t="s">
        <v>21</v>
      </c>
    </row>
    <row r="20" spans="1:8">
      <c r="A20" s="13">
        <v>14</v>
      </c>
      <c r="B20" s="13">
        <v>2</v>
      </c>
      <c r="C20" s="14" t="s">
        <v>19</v>
      </c>
      <c r="D20" s="13">
        <v>2005</v>
      </c>
      <c r="E20" s="14" t="s">
        <v>20</v>
      </c>
      <c r="F20" s="15">
        <v>229</v>
      </c>
      <c r="G20" s="13">
        <v>8</v>
      </c>
      <c r="H20" s="16" t="s">
        <v>22</v>
      </c>
    </row>
    <row r="21" spans="1:8">
      <c r="A21" s="13">
        <v>15</v>
      </c>
      <c r="B21" s="13">
        <v>2</v>
      </c>
      <c r="C21" s="14" t="s">
        <v>19</v>
      </c>
      <c r="D21" s="13">
        <v>2005</v>
      </c>
      <c r="E21" s="14" t="s">
        <v>20</v>
      </c>
      <c r="F21" s="15">
        <v>229</v>
      </c>
      <c r="G21" s="13">
        <v>10</v>
      </c>
      <c r="H21" s="16" t="s">
        <v>23</v>
      </c>
    </row>
    <row r="22" spans="1:8">
      <c r="A22" s="13">
        <v>16</v>
      </c>
      <c r="B22" s="13">
        <v>2</v>
      </c>
      <c r="C22" s="14" t="s">
        <v>19</v>
      </c>
      <c r="D22" s="13">
        <v>3006</v>
      </c>
      <c r="E22" s="14" t="s">
        <v>24</v>
      </c>
      <c r="F22" s="15">
        <v>19.95</v>
      </c>
      <c r="G22" s="13">
        <v>8</v>
      </c>
      <c r="H22" s="16" t="s">
        <v>21</v>
      </c>
    </row>
    <row r="23" spans="1:8">
      <c r="A23" s="13">
        <v>17</v>
      </c>
      <c r="B23" s="13">
        <v>2</v>
      </c>
      <c r="C23" s="14" t="s">
        <v>19</v>
      </c>
      <c r="D23" s="13">
        <v>3006</v>
      </c>
      <c r="E23" s="14" t="s">
        <v>24</v>
      </c>
      <c r="F23" s="15">
        <v>19.95</v>
      </c>
      <c r="G23" s="13">
        <v>8</v>
      </c>
      <c r="H23" s="16" t="s">
        <v>22</v>
      </c>
    </row>
    <row r="24" spans="1:8">
      <c r="A24" s="13">
        <v>18</v>
      </c>
      <c r="B24" s="13">
        <v>2</v>
      </c>
      <c r="C24" s="14" t="s">
        <v>19</v>
      </c>
      <c r="D24" s="13">
        <v>3006</v>
      </c>
      <c r="E24" s="14" t="s">
        <v>24</v>
      </c>
      <c r="F24" s="15">
        <v>19.95</v>
      </c>
      <c r="G24" s="13">
        <v>8</v>
      </c>
      <c r="H24" s="16" t="s">
        <v>23</v>
      </c>
    </row>
    <row r="25" spans="1:8">
      <c r="A25" s="13">
        <v>19</v>
      </c>
      <c r="B25" s="13">
        <v>2</v>
      </c>
      <c r="C25" s="14" t="s">
        <v>19</v>
      </c>
      <c r="D25" s="13">
        <v>6050</v>
      </c>
      <c r="E25" s="14" t="s">
        <v>25</v>
      </c>
      <c r="F25" s="15">
        <v>8.9499999999999993</v>
      </c>
      <c r="G25" s="13">
        <v>9</v>
      </c>
      <c r="H25" s="16" t="s">
        <v>21</v>
      </c>
    </row>
    <row r="26" spans="1:8">
      <c r="A26" s="13">
        <v>20</v>
      </c>
      <c r="B26" s="13">
        <v>2</v>
      </c>
      <c r="C26" s="14" t="s">
        <v>19</v>
      </c>
      <c r="D26" s="13">
        <v>6050</v>
      </c>
      <c r="E26" s="14" t="s">
        <v>25</v>
      </c>
      <c r="F26" s="15">
        <v>8.9499999999999993</v>
      </c>
      <c r="G26" s="13">
        <v>9</v>
      </c>
      <c r="H26" s="16" t="s">
        <v>22</v>
      </c>
    </row>
    <row r="27" spans="1:8">
      <c r="A27" s="13">
        <v>21</v>
      </c>
      <c r="B27" s="13">
        <v>2</v>
      </c>
      <c r="C27" s="14" t="s">
        <v>19</v>
      </c>
      <c r="D27" s="13">
        <v>6050</v>
      </c>
      <c r="E27" s="14" t="s">
        <v>25</v>
      </c>
      <c r="F27" s="15">
        <v>8.9499999999999993</v>
      </c>
      <c r="G27" s="13">
        <v>8</v>
      </c>
      <c r="H27" s="16" t="s">
        <v>23</v>
      </c>
    </row>
    <row r="28" spans="1:8">
      <c r="A28" s="13">
        <v>22</v>
      </c>
      <c r="B28" s="13">
        <v>2</v>
      </c>
      <c r="C28" s="14" t="s">
        <v>19</v>
      </c>
      <c r="D28" s="13">
        <v>8500</v>
      </c>
      <c r="E28" s="14" t="s">
        <v>26</v>
      </c>
      <c r="F28" s="15">
        <v>849.95</v>
      </c>
      <c r="G28" s="13">
        <v>18</v>
      </c>
      <c r="H28" s="16" t="s">
        <v>21</v>
      </c>
    </row>
    <row r="29" spans="1:8">
      <c r="A29" s="13">
        <v>23</v>
      </c>
      <c r="B29" s="13">
        <v>2</v>
      </c>
      <c r="C29" s="14" t="s">
        <v>19</v>
      </c>
      <c r="D29" s="13">
        <v>8500</v>
      </c>
      <c r="E29" s="14" t="s">
        <v>26</v>
      </c>
      <c r="F29" s="15">
        <v>849.95</v>
      </c>
      <c r="G29" s="13">
        <v>18</v>
      </c>
      <c r="H29" s="16" t="s">
        <v>22</v>
      </c>
    </row>
    <row r="30" spans="1:8">
      <c r="A30" s="13">
        <v>24</v>
      </c>
      <c r="B30" s="13">
        <v>2</v>
      </c>
      <c r="C30" s="14" t="s">
        <v>19</v>
      </c>
      <c r="D30" s="13">
        <v>8500</v>
      </c>
      <c r="E30" s="14" t="s">
        <v>26</v>
      </c>
      <c r="F30" s="15">
        <v>849.95</v>
      </c>
      <c r="G30" s="13">
        <v>20</v>
      </c>
      <c r="H30" s="16" t="s">
        <v>23</v>
      </c>
    </row>
    <row r="31" spans="1:8">
      <c r="A31" s="13">
        <v>25</v>
      </c>
      <c r="B31" s="13">
        <v>3</v>
      </c>
      <c r="C31" s="14" t="s">
        <v>19</v>
      </c>
      <c r="D31" s="13">
        <v>2005</v>
      </c>
      <c r="E31" s="14" t="s">
        <v>20</v>
      </c>
      <c r="F31" s="15">
        <v>229</v>
      </c>
      <c r="G31" s="13">
        <v>38</v>
      </c>
      <c r="H31" s="16" t="s">
        <v>21</v>
      </c>
    </row>
    <row r="32" spans="1:8">
      <c r="A32" s="13">
        <v>26</v>
      </c>
      <c r="B32" s="13">
        <v>3</v>
      </c>
      <c r="C32" s="14" t="s">
        <v>19</v>
      </c>
      <c r="D32" s="13">
        <v>2005</v>
      </c>
      <c r="E32" s="14" t="s">
        <v>20</v>
      </c>
      <c r="F32" s="15">
        <v>229</v>
      </c>
      <c r="G32" s="13">
        <v>30</v>
      </c>
      <c r="H32" s="16" t="s">
        <v>22</v>
      </c>
    </row>
    <row r="33" spans="1:8">
      <c r="A33" s="13">
        <v>27</v>
      </c>
      <c r="B33" s="13">
        <v>3</v>
      </c>
      <c r="C33" s="14" t="s">
        <v>19</v>
      </c>
      <c r="D33" s="13">
        <v>2005</v>
      </c>
      <c r="E33" s="14" t="s">
        <v>20</v>
      </c>
      <c r="F33" s="15">
        <v>229</v>
      </c>
      <c r="G33" s="13">
        <v>3</v>
      </c>
      <c r="H33" s="16" t="s">
        <v>23</v>
      </c>
    </row>
    <row r="34" spans="1:8">
      <c r="A34" s="13">
        <v>28</v>
      </c>
      <c r="B34" s="13">
        <v>3</v>
      </c>
      <c r="C34" s="14" t="s">
        <v>19</v>
      </c>
      <c r="D34" s="13">
        <v>3006</v>
      </c>
      <c r="E34" s="14" t="s">
        <v>24</v>
      </c>
      <c r="F34" s="15">
        <v>19.95</v>
      </c>
      <c r="G34" s="13">
        <v>30</v>
      </c>
      <c r="H34" s="16" t="s">
        <v>21</v>
      </c>
    </row>
    <row r="35" spans="1:8">
      <c r="A35" s="13">
        <v>29</v>
      </c>
      <c r="B35" s="13">
        <v>3</v>
      </c>
      <c r="C35" s="14" t="s">
        <v>19</v>
      </c>
      <c r="D35" s="13">
        <v>3006</v>
      </c>
      <c r="E35" s="14" t="s">
        <v>24</v>
      </c>
      <c r="F35" s="15">
        <v>19.95</v>
      </c>
      <c r="G35" s="13">
        <v>32</v>
      </c>
      <c r="H35" s="16" t="s">
        <v>22</v>
      </c>
    </row>
    <row r="36" spans="1:8">
      <c r="A36" s="13">
        <v>30</v>
      </c>
      <c r="B36" s="13">
        <v>3</v>
      </c>
      <c r="C36" s="14" t="s">
        <v>19</v>
      </c>
      <c r="D36" s="13">
        <v>3006</v>
      </c>
      <c r="E36" s="14" t="s">
        <v>24</v>
      </c>
      <c r="F36" s="15">
        <v>19.95</v>
      </c>
      <c r="G36" s="13">
        <v>33</v>
      </c>
      <c r="H36" s="16" t="s">
        <v>23</v>
      </c>
    </row>
    <row r="37" spans="1:8">
      <c r="A37" s="13">
        <v>31</v>
      </c>
      <c r="B37" s="13">
        <v>3</v>
      </c>
      <c r="C37" s="14" t="s">
        <v>19</v>
      </c>
      <c r="D37" s="13">
        <v>6050</v>
      </c>
      <c r="E37" s="14" t="s">
        <v>25</v>
      </c>
      <c r="F37" s="15">
        <v>8.9499999999999993</v>
      </c>
      <c r="G37" s="13">
        <v>25</v>
      </c>
      <c r="H37" s="16" t="s">
        <v>21</v>
      </c>
    </row>
    <row r="38" spans="1:8">
      <c r="A38" s="13">
        <v>32</v>
      </c>
      <c r="B38" s="13">
        <v>3</v>
      </c>
      <c r="C38" s="14" t="s">
        <v>19</v>
      </c>
      <c r="D38" s="13">
        <v>6050</v>
      </c>
      <c r="E38" s="14" t="s">
        <v>25</v>
      </c>
      <c r="F38" s="15">
        <v>8.9499999999999993</v>
      </c>
      <c r="G38" s="13">
        <v>5</v>
      </c>
      <c r="H38" s="16" t="s">
        <v>22</v>
      </c>
    </row>
    <row r="39" spans="1:8">
      <c r="A39" s="13">
        <v>33</v>
      </c>
      <c r="B39" s="13">
        <v>3</v>
      </c>
      <c r="C39" s="14" t="s">
        <v>19</v>
      </c>
      <c r="D39" s="13">
        <v>6050</v>
      </c>
      <c r="E39" s="14" t="s">
        <v>25</v>
      </c>
      <c r="F39" s="15">
        <v>8.9499999999999993</v>
      </c>
      <c r="G39" s="13">
        <v>26</v>
      </c>
      <c r="H39" s="16" t="s">
        <v>23</v>
      </c>
    </row>
    <row r="40" spans="1:8">
      <c r="A40" s="13">
        <v>34</v>
      </c>
      <c r="B40" s="13">
        <v>3</v>
      </c>
      <c r="C40" s="14" t="s">
        <v>19</v>
      </c>
      <c r="D40" s="13">
        <v>8500</v>
      </c>
      <c r="E40" s="14" t="s">
        <v>26</v>
      </c>
      <c r="F40" s="15">
        <v>849.95</v>
      </c>
      <c r="G40" s="13">
        <v>28</v>
      </c>
      <c r="H40" s="16" t="s">
        <v>21</v>
      </c>
    </row>
    <row r="41" spans="1:8">
      <c r="A41" s="13">
        <v>35</v>
      </c>
      <c r="B41" s="13">
        <v>3</v>
      </c>
      <c r="C41" s="14" t="s">
        <v>19</v>
      </c>
      <c r="D41" s="13">
        <v>8500</v>
      </c>
      <c r="E41" s="14" t="s">
        <v>26</v>
      </c>
      <c r="F41" s="15">
        <v>849.95</v>
      </c>
      <c r="G41" s="13">
        <v>27</v>
      </c>
      <c r="H41" s="16" t="s">
        <v>22</v>
      </c>
    </row>
    <row r="42" spans="1:8">
      <c r="A42" s="13">
        <v>36</v>
      </c>
      <c r="B42" s="13">
        <v>3</v>
      </c>
      <c r="C42" s="14" t="s">
        <v>19</v>
      </c>
      <c r="D42" s="13">
        <v>8500</v>
      </c>
      <c r="E42" s="14" t="s">
        <v>26</v>
      </c>
      <c r="F42" s="15">
        <v>849.95</v>
      </c>
      <c r="G42" s="13">
        <v>29</v>
      </c>
      <c r="H42" s="16" t="s">
        <v>23</v>
      </c>
    </row>
    <row r="43" spans="1:8">
      <c r="A43" s="13">
        <v>37</v>
      </c>
      <c r="B43" s="13">
        <v>4</v>
      </c>
      <c r="C43" s="14" t="s">
        <v>27</v>
      </c>
      <c r="D43" s="13">
        <v>2005</v>
      </c>
      <c r="E43" s="14" t="s">
        <v>20</v>
      </c>
      <c r="F43" s="15">
        <v>229</v>
      </c>
      <c r="G43" s="13">
        <v>18</v>
      </c>
      <c r="H43" s="16" t="s">
        <v>21</v>
      </c>
    </row>
    <row r="44" spans="1:8">
      <c r="A44" s="13">
        <v>38</v>
      </c>
      <c r="B44" s="13">
        <v>4</v>
      </c>
      <c r="C44" s="14" t="s">
        <v>27</v>
      </c>
      <c r="D44" s="13">
        <v>2005</v>
      </c>
      <c r="E44" s="14" t="s">
        <v>20</v>
      </c>
      <c r="F44" s="15">
        <v>229</v>
      </c>
      <c r="G44" s="13">
        <v>20</v>
      </c>
      <c r="H44" s="16" t="s">
        <v>22</v>
      </c>
    </row>
    <row r="45" spans="1:8">
      <c r="A45" s="13">
        <v>39</v>
      </c>
      <c r="B45" s="13">
        <v>4</v>
      </c>
      <c r="C45" s="14" t="s">
        <v>27</v>
      </c>
      <c r="D45" s="13">
        <v>2005</v>
      </c>
      <c r="E45" s="14" t="s">
        <v>20</v>
      </c>
      <c r="F45" s="15">
        <v>229</v>
      </c>
      <c r="G45" s="13">
        <v>4</v>
      </c>
      <c r="H45" s="16" t="s">
        <v>23</v>
      </c>
    </row>
    <row r="46" spans="1:8">
      <c r="A46" s="13">
        <v>40</v>
      </c>
      <c r="B46" s="13">
        <v>4</v>
      </c>
      <c r="C46" s="14" t="s">
        <v>27</v>
      </c>
      <c r="D46" s="13">
        <v>3006</v>
      </c>
      <c r="E46" s="14" t="s">
        <v>24</v>
      </c>
      <c r="F46" s="15">
        <v>19.95</v>
      </c>
      <c r="G46" s="13">
        <v>12</v>
      </c>
      <c r="H46" s="16" t="s">
        <v>21</v>
      </c>
    </row>
    <row r="47" spans="1:8">
      <c r="A47" s="13">
        <v>41</v>
      </c>
      <c r="B47" s="13">
        <v>4</v>
      </c>
      <c r="C47" s="14" t="s">
        <v>27</v>
      </c>
      <c r="D47" s="13">
        <v>3006</v>
      </c>
      <c r="E47" s="14" t="s">
        <v>24</v>
      </c>
      <c r="F47" s="15">
        <v>19.95</v>
      </c>
      <c r="G47" s="13">
        <v>24</v>
      </c>
      <c r="H47" s="16" t="s">
        <v>22</v>
      </c>
    </row>
    <row r="48" spans="1:8">
      <c r="A48" s="13">
        <v>42</v>
      </c>
      <c r="B48" s="13">
        <v>4</v>
      </c>
      <c r="C48" s="14" t="s">
        <v>27</v>
      </c>
      <c r="D48" s="13">
        <v>3006</v>
      </c>
      <c r="E48" s="14" t="s">
        <v>24</v>
      </c>
      <c r="F48" s="15">
        <v>19.95</v>
      </c>
      <c r="G48" s="13">
        <v>36</v>
      </c>
      <c r="H48" s="16" t="s">
        <v>23</v>
      </c>
    </row>
    <row r="49" spans="1:8">
      <c r="A49" s="13">
        <v>43</v>
      </c>
      <c r="B49" s="13">
        <v>4</v>
      </c>
      <c r="C49" s="14" t="s">
        <v>27</v>
      </c>
      <c r="D49" s="13">
        <v>6050</v>
      </c>
      <c r="E49" s="14" t="s">
        <v>25</v>
      </c>
      <c r="F49" s="15">
        <v>8.9499999999999993</v>
      </c>
      <c r="G49" s="13">
        <v>29</v>
      </c>
      <c r="H49" s="16" t="s">
        <v>21</v>
      </c>
    </row>
    <row r="50" spans="1:8">
      <c r="A50" s="13">
        <v>44</v>
      </c>
      <c r="B50" s="13">
        <v>4</v>
      </c>
      <c r="C50" s="14" t="s">
        <v>27</v>
      </c>
      <c r="D50" s="13">
        <v>6050</v>
      </c>
      <c r="E50" s="14" t="s">
        <v>25</v>
      </c>
      <c r="F50" s="15">
        <v>8.9499999999999993</v>
      </c>
      <c r="G50" s="13">
        <v>11</v>
      </c>
      <c r="H50" s="16" t="s">
        <v>22</v>
      </c>
    </row>
    <row r="51" spans="1:8">
      <c r="A51" s="13">
        <v>45</v>
      </c>
      <c r="B51" s="13">
        <v>4</v>
      </c>
      <c r="C51" s="14" t="s">
        <v>27</v>
      </c>
      <c r="D51" s="13">
        <v>6050</v>
      </c>
      <c r="E51" s="14" t="s">
        <v>25</v>
      </c>
      <c r="F51" s="15">
        <v>8.9499999999999993</v>
      </c>
      <c r="G51" s="13">
        <v>38</v>
      </c>
      <c r="H51" s="16" t="s">
        <v>23</v>
      </c>
    </row>
    <row r="52" spans="1:8">
      <c r="A52" s="13">
        <v>46</v>
      </c>
      <c r="B52" s="13">
        <v>4</v>
      </c>
      <c r="C52" s="14" t="s">
        <v>27</v>
      </c>
      <c r="D52" s="13">
        <v>8500</v>
      </c>
      <c r="E52" s="14" t="s">
        <v>26</v>
      </c>
      <c r="F52" s="15">
        <v>849.95</v>
      </c>
      <c r="G52" s="13">
        <v>21</v>
      </c>
      <c r="H52" s="16" t="s">
        <v>21</v>
      </c>
    </row>
    <row r="53" spans="1:8">
      <c r="A53" s="13">
        <v>47</v>
      </c>
      <c r="B53" s="13">
        <v>4</v>
      </c>
      <c r="C53" s="14" t="s">
        <v>27</v>
      </c>
      <c r="D53" s="13">
        <v>8500</v>
      </c>
      <c r="E53" s="14" t="s">
        <v>26</v>
      </c>
      <c r="F53" s="15">
        <v>849.95</v>
      </c>
      <c r="G53" s="13">
        <v>24</v>
      </c>
      <c r="H53" s="16" t="s">
        <v>22</v>
      </c>
    </row>
    <row r="54" spans="1:8">
      <c r="A54" s="13">
        <v>48</v>
      </c>
      <c r="B54" s="13">
        <v>4</v>
      </c>
      <c r="C54" s="14" t="s">
        <v>27</v>
      </c>
      <c r="D54" s="13">
        <v>8500</v>
      </c>
      <c r="E54" s="14" t="s">
        <v>26</v>
      </c>
      <c r="F54" s="15">
        <v>849.95</v>
      </c>
      <c r="G54" s="13">
        <v>30</v>
      </c>
      <c r="H54" s="16" t="s">
        <v>23</v>
      </c>
    </row>
    <row r="55" spans="1:8">
      <c r="A55" s="13">
        <v>49</v>
      </c>
      <c r="B55" s="13">
        <v>5</v>
      </c>
      <c r="C55" s="14" t="s">
        <v>27</v>
      </c>
      <c r="D55" s="13">
        <v>2005</v>
      </c>
      <c r="E55" s="14" t="s">
        <v>20</v>
      </c>
      <c r="F55" s="15">
        <v>229</v>
      </c>
      <c r="G55" s="13">
        <v>27</v>
      </c>
      <c r="H55" s="16" t="s">
        <v>21</v>
      </c>
    </row>
    <row r="56" spans="1:8">
      <c r="A56" s="13">
        <v>50</v>
      </c>
      <c r="B56" s="13">
        <v>5</v>
      </c>
      <c r="C56" s="14" t="s">
        <v>27</v>
      </c>
      <c r="D56" s="13">
        <v>2005</v>
      </c>
      <c r="E56" s="14" t="s">
        <v>20</v>
      </c>
      <c r="F56" s="15">
        <v>229</v>
      </c>
      <c r="G56" s="13">
        <v>25</v>
      </c>
      <c r="H56" s="16" t="s">
        <v>22</v>
      </c>
    </row>
    <row r="57" spans="1:8">
      <c r="A57" s="13">
        <v>51</v>
      </c>
      <c r="B57" s="13">
        <v>5</v>
      </c>
      <c r="C57" s="14" t="s">
        <v>27</v>
      </c>
      <c r="D57" s="13">
        <v>2005</v>
      </c>
      <c r="E57" s="14" t="s">
        <v>20</v>
      </c>
      <c r="F57" s="15">
        <v>229</v>
      </c>
      <c r="G57" s="13">
        <v>23</v>
      </c>
      <c r="H57" s="16" t="s">
        <v>23</v>
      </c>
    </row>
    <row r="58" spans="1:8">
      <c r="A58" s="13">
        <v>52</v>
      </c>
      <c r="B58" s="13">
        <v>5</v>
      </c>
      <c r="C58" s="14" t="s">
        <v>27</v>
      </c>
      <c r="D58" s="13">
        <v>3006</v>
      </c>
      <c r="E58" s="14" t="s">
        <v>24</v>
      </c>
      <c r="F58" s="15">
        <v>19.95</v>
      </c>
      <c r="G58" s="13">
        <v>80</v>
      </c>
      <c r="H58" s="16" t="s">
        <v>21</v>
      </c>
    </row>
    <row r="59" spans="1:8">
      <c r="A59" s="13">
        <v>53</v>
      </c>
      <c r="B59" s="13">
        <v>5</v>
      </c>
      <c r="C59" s="14" t="s">
        <v>27</v>
      </c>
      <c r="D59" s="13">
        <v>3006</v>
      </c>
      <c r="E59" s="14" t="s">
        <v>24</v>
      </c>
      <c r="F59" s="15">
        <v>19.95</v>
      </c>
      <c r="G59" s="13">
        <v>82</v>
      </c>
      <c r="H59" s="16" t="s">
        <v>22</v>
      </c>
    </row>
    <row r="60" spans="1:8">
      <c r="A60" s="13">
        <v>54</v>
      </c>
      <c r="B60" s="13">
        <v>5</v>
      </c>
      <c r="C60" s="14" t="s">
        <v>27</v>
      </c>
      <c r="D60" s="13">
        <v>3006</v>
      </c>
      <c r="E60" s="14" t="s">
        <v>24</v>
      </c>
      <c r="F60" s="15">
        <v>19.95</v>
      </c>
      <c r="G60" s="13">
        <v>75</v>
      </c>
      <c r="H60" s="16" t="s">
        <v>23</v>
      </c>
    </row>
    <row r="61" spans="1:8">
      <c r="A61" s="13">
        <v>55</v>
      </c>
      <c r="B61" s="13">
        <v>5</v>
      </c>
      <c r="C61" s="14" t="s">
        <v>27</v>
      </c>
      <c r="D61" s="13">
        <v>6050</v>
      </c>
      <c r="E61" s="14" t="s">
        <v>25</v>
      </c>
      <c r="F61" s="15">
        <v>8.9499999999999993</v>
      </c>
      <c r="G61" s="13">
        <v>65</v>
      </c>
      <c r="H61" s="16" t="s">
        <v>21</v>
      </c>
    </row>
    <row r="62" spans="1:8">
      <c r="A62" s="13">
        <v>56</v>
      </c>
      <c r="B62" s="13">
        <v>5</v>
      </c>
      <c r="C62" s="14" t="s">
        <v>27</v>
      </c>
      <c r="D62" s="13">
        <v>6050</v>
      </c>
      <c r="E62" s="14" t="s">
        <v>25</v>
      </c>
      <c r="F62" s="15">
        <v>8.9499999999999993</v>
      </c>
      <c r="G62" s="13">
        <v>24</v>
      </c>
      <c r="H62" s="16" t="s">
        <v>22</v>
      </c>
    </row>
    <row r="63" spans="1:8">
      <c r="A63" s="13">
        <v>57</v>
      </c>
      <c r="B63" s="13">
        <v>5</v>
      </c>
      <c r="C63" s="14" t="s">
        <v>27</v>
      </c>
      <c r="D63" s="13">
        <v>6050</v>
      </c>
      <c r="E63" s="14" t="s">
        <v>25</v>
      </c>
      <c r="F63" s="15">
        <v>8.9499999999999993</v>
      </c>
      <c r="G63" s="13">
        <v>55</v>
      </c>
      <c r="H63" s="16" t="s">
        <v>23</v>
      </c>
    </row>
    <row r="64" spans="1:8">
      <c r="A64" s="13">
        <v>58</v>
      </c>
      <c r="B64" s="13">
        <v>5</v>
      </c>
      <c r="C64" s="14" t="s">
        <v>27</v>
      </c>
      <c r="D64" s="13">
        <v>8500</v>
      </c>
      <c r="E64" s="14" t="s">
        <v>26</v>
      </c>
      <c r="F64" s="15">
        <v>849.95</v>
      </c>
      <c r="G64" s="13">
        <v>55</v>
      </c>
      <c r="H64" s="16" t="s">
        <v>21</v>
      </c>
    </row>
    <row r="65" spans="1:8">
      <c r="A65" s="13">
        <v>59</v>
      </c>
      <c r="B65" s="13">
        <v>5</v>
      </c>
      <c r="C65" s="14" t="s">
        <v>27</v>
      </c>
      <c r="D65" s="13">
        <v>8500</v>
      </c>
      <c r="E65" s="14" t="s">
        <v>26</v>
      </c>
      <c r="F65" s="15">
        <v>849.95</v>
      </c>
      <c r="G65" s="13">
        <v>57</v>
      </c>
      <c r="H65" s="16" t="s">
        <v>22</v>
      </c>
    </row>
    <row r="66" spans="1:8">
      <c r="A66" s="13">
        <v>60</v>
      </c>
      <c r="B66" s="13">
        <v>5</v>
      </c>
      <c r="C66" s="14" t="s">
        <v>27</v>
      </c>
      <c r="D66" s="13">
        <v>8500</v>
      </c>
      <c r="E66" s="14" t="s">
        <v>26</v>
      </c>
      <c r="F66" s="15">
        <v>849.95</v>
      </c>
      <c r="G66" s="13">
        <v>47</v>
      </c>
      <c r="H66" s="16" t="s">
        <v>23</v>
      </c>
    </row>
    <row r="67" spans="1:8">
      <c r="A67" s="13">
        <v>61</v>
      </c>
      <c r="B67" s="13">
        <v>6</v>
      </c>
      <c r="C67" s="14" t="s">
        <v>28</v>
      </c>
      <c r="D67" s="13">
        <v>2005</v>
      </c>
      <c r="E67" s="14" t="s">
        <v>20</v>
      </c>
      <c r="F67" s="15">
        <v>229</v>
      </c>
      <c r="G67" s="13">
        <v>24</v>
      </c>
      <c r="H67" s="16" t="s">
        <v>21</v>
      </c>
    </row>
    <row r="68" spans="1:8">
      <c r="A68" s="13">
        <v>62</v>
      </c>
      <c r="B68" s="13">
        <v>6</v>
      </c>
      <c r="C68" s="14" t="s">
        <v>28</v>
      </c>
      <c r="D68" s="13">
        <v>2005</v>
      </c>
      <c r="E68" s="14" t="s">
        <v>20</v>
      </c>
      <c r="F68" s="15">
        <v>229</v>
      </c>
      <c r="G68" s="13">
        <v>85</v>
      </c>
      <c r="H68" s="16" t="s">
        <v>22</v>
      </c>
    </row>
    <row r="69" spans="1:8">
      <c r="A69" s="13">
        <v>63</v>
      </c>
      <c r="B69" s="13">
        <v>6</v>
      </c>
      <c r="C69" s="14" t="s">
        <v>28</v>
      </c>
      <c r="D69" s="13">
        <v>2005</v>
      </c>
      <c r="E69" s="14" t="s">
        <v>20</v>
      </c>
      <c r="F69" s="15">
        <v>229</v>
      </c>
      <c r="G69" s="13">
        <v>56</v>
      </c>
      <c r="H69" s="16" t="s">
        <v>23</v>
      </c>
    </row>
    <row r="70" spans="1:8">
      <c r="A70" s="13">
        <v>64</v>
      </c>
      <c r="B70" s="13">
        <v>6</v>
      </c>
      <c r="C70" s="14" t="s">
        <v>28</v>
      </c>
      <c r="D70" s="13">
        <v>3006</v>
      </c>
      <c r="E70" s="14" t="s">
        <v>24</v>
      </c>
      <c r="F70" s="15">
        <v>19.95</v>
      </c>
      <c r="G70" s="13">
        <v>52</v>
      </c>
      <c r="H70" s="16" t="s">
        <v>21</v>
      </c>
    </row>
    <row r="71" spans="1:8">
      <c r="A71" s="13">
        <v>65</v>
      </c>
      <c r="B71" s="13">
        <v>6</v>
      </c>
      <c r="C71" s="14" t="s">
        <v>28</v>
      </c>
      <c r="D71" s="13">
        <v>3006</v>
      </c>
      <c r="E71" s="14" t="s">
        <v>24</v>
      </c>
      <c r="F71" s="15">
        <v>19.95</v>
      </c>
      <c r="G71" s="13">
        <v>58</v>
      </c>
      <c r="H71" s="16" t="s">
        <v>22</v>
      </c>
    </row>
    <row r="72" spans="1:8">
      <c r="A72" s="13">
        <v>66</v>
      </c>
      <c r="B72" s="13">
        <v>6</v>
      </c>
      <c r="C72" s="14" t="s">
        <v>28</v>
      </c>
      <c r="D72" s="13">
        <v>3006</v>
      </c>
      <c r="E72" s="14" t="s">
        <v>24</v>
      </c>
      <c r="F72" s="15">
        <v>19.95</v>
      </c>
      <c r="G72" s="13">
        <v>69</v>
      </c>
      <c r="H72" s="16" t="s">
        <v>23</v>
      </c>
    </row>
    <row r="73" spans="1:8">
      <c r="A73" s="13">
        <v>67</v>
      </c>
      <c r="B73" s="13">
        <v>6</v>
      </c>
      <c r="C73" s="14" t="s">
        <v>28</v>
      </c>
      <c r="D73" s="13">
        <v>6050</v>
      </c>
      <c r="E73" s="14" t="s">
        <v>25</v>
      </c>
      <c r="F73" s="15">
        <v>8.9499999999999993</v>
      </c>
      <c r="G73" s="13">
        <v>35</v>
      </c>
      <c r="H73" s="16" t="s">
        <v>21</v>
      </c>
    </row>
    <row r="74" spans="1:8">
      <c r="A74" s="13">
        <v>68</v>
      </c>
      <c r="B74" s="13">
        <v>6</v>
      </c>
      <c r="C74" s="14" t="s">
        <v>28</v>
      </c>
      <c r="D74" s="13">
        <v>6050</v>
      </c>
      <c r="E74" s="14" t="s">
        <v>25</v>
      </c>
      <c r="F74" s="15">
        <v>8.9499999999999993</v>
      </c>
      <c r="G74" s="13">
        <v>39</v>
      </c>
      <c r="H74" s="16" t="s">
        <v>22</v>
      </c>
    </row>
    <row r="75" spans="1:8">
      <c r="A75" s="13">
        <v>69</v>
      </c>
      <c r="B75" s="13">
        <v>6</v>
      </c>
      <c r="C75" s="14" t="s">
        <v>28</v>
      </c>
      <c r="D75" s="13">
        <v>6050</v>
      </c>
      <c r="E75" s="14" t="s">
        <v>25</v>
      </c>
      <c r="F75" s="15">
        <v>8.9499999999999993</v>
      </c>
      <c r="G75" s="13">
        <v>44</v>
      </c>
      <c r="H75" s="16" t="s">
        <v>23</v>
      </c>
    </row>
    <row r="76" spans="1:8">
      <c r="A76" s="13">
        <v>70</v>
      </c>
      <c r="B76" s="13">
        <v>6</v>
      </c>
      <c r="C76" s="14" t="s">
        <v>28</v>
      </c>
      <c r="D76" s="13">
        <v>8500</v>
      </c>
      <c r="E76" s="14" t="s">
        <v>26</v>
      </c>
      <c r="F76" s="15">
        <v>849.95</v>
      </c>
      <c r="G76" s="13">
        <v>78</v>
      </c>
      <c r="H76" s="16" t="s">
        <v>21</v>
      </c>
    </row>
    <row r="77" spans="1:8">
      <c r="A77" s="13">
        <v>71</v>
      </c>
      <c r="B77" s="13">
        <v>6</v>
      </c>
      <c r="C77" s="14" t="s">
        <v>28</v>
      </c>
      <c r="D77" s="13">
        <v>8500</v>
      </c>
      <c r="E77" s="14" t="s">
        <v>26</v>
      </c>
      <c r="F77" s="15">
        <v>849.95</v>
      </c>
      <c r="G77" s="13">
        <v>88</v>
      </c>
      <c r="H77" s="16" t="s">
        <v>22</v>
      </c>
    </row>
    <row r="78" spans="1:8">
      <c r="A78" s="13">
        <v>72</v>
      </c>
      <c r="B78" s="13">
        <v>6</v>
      </c>
      <c r="C78" s="14" t="s">
        <v>28</v>
      </c>
      <c r="D78" s="13">
        <v>8500</v>
      </c>
      <c r="E78" s="14" t="s">
        <v>26</v>
      </c>
      <c r="F78" s="15">
        <v>849.95</v>
      </c>
      <c r="G78" s="13">
        <v>99</v>
      </c>
      <c r="H78" s="16" t="s">
        <v>23</v>
      </c>
    </row>
    <row r="79" spans="1:8">
      <c r="A79" s="13">
        <v>73</v>
      </c>
      <c r="B79" s="13">
        <v>7</v>
      </c>
      <c r="C79" s="14" t="s">
        <v>28</v>
      </c>
      <c r="D79" s="13">
        <v>2005</v>
      </c>
      <c r="E79" s="14" t="s">
        <v>20</v>
      </c>
      <c r="F79" s="15">
        <v>229</v>
      </c>
      <c r="G79" s="13">
        <v>34</v>
      </c>
      <c r="H79" s="16" t="s">
        <v>21</v>
      </c>
    </row>
    <row r="80" spans="1:8">
      <c r="A80" s="13">
        <v>74</v>
      </c>
      <c r="B80" s="13">
        <v>7</v>
      </c>
      <c r="C80" s="14" t="s">
        <v>28</v>
      </c>
      <c r="D80" s="13">
        <v>2005</v>
      </c>
      <c r="E80" s="14" t="s">
        <v>20</v>
      </c>
      <c r="F80" s="15">
        <v>229</v>
      </c>
      <c r="G80" s="13">
        <v>36</v>
      </c>
      <c r="H80" s="16" t="s">
        <v>22</v>
      </c>
    </row>
    <row r="81" spans="1:8">
      <c r="A81" s="13">
        <v>75</v>
      </c>
      <c r="B81" s="13">
        <v>7</v>
      </c>
      <c r="C81" s="14" t="s">
        <v>28</v>
      </c>
      <c r="D81" s="13">
        <v>2005</v>
      </c>
      <c r="E81" s="14" t="s">
        <v>20</v>
      </c>
      <c r="F81" s="15">
        <v>229</v>
      </c>
      <c r="G81" s="13">
        <v>35</v>
      </c>
      <c r="H81" s="16" t="s">
        <v>23</v>
      </c>
    </row>
    <row r="82" spans="1:8">
      <c r="A82" s="13">
        <v>76</v>
      </c>
      <c r="B82" s="13">
        <v>7</v>
      </c>
      <c r="C82" s="14" t="s">
        <v>28</v>
      </c>
      <c r="D82" s="13">
        <v>3006</v>
      </c>
      <c r="E82" s="14" t="s">
        <v>24</v>
      </c>
      <c r="F82" s="15">
        <v>19.95</v>
      </c>
      <c r="G82" s="13">
        <v>49</v>
      </c>
      <c r="H82" s="16" t="s">
        <v>21</v>
      </c>
    </row>
    <row r="83" spans="1:8">
      <c r="A83" s="13">
        <v>77</v>
      </c>
      <c r="B83" s="13">
        <v>7</v>
      </c>
      <c r="C83" s="14" t="s">
        <v>28</v>
      </c>
      <c r="D83" s="13">
        <v>3006</v>
      </c>
      <c r="E83" s="14" t="s">
        <v>24</v>
      </c>
      <c r="F83" s="15">
        <v>19.95</v>
      </c>
      <c r="G83" s="13">
        <v>47</v>
      </c>
      <c r="H83" s="16" t="s">
        <v>22</v>
      </c>
    </row>
    <row r="84" spans="1:8">
      <c r="A84" s="13">
        <v>78</v>
      </c>
      <c r="B84" s="13">
        <v>7</v>
      </c>
      <c r="C84" s="14" t="s">
        <v>28</v>
      </c>
      <c r="D84" s="13">
        <v>3006</v>
      </c>
      <c r="E84" s="14" t="s">
        <v>24</v>
      </c>
      <c r="F84" s="15">
        <v>19.95</v>
      </c>
      <c r="G84" s="13">
        <v>48</v>
      </c>
      <c r="H84" s="16" t="s">
        <v>23</v>
      </c>
    </row>
    <row r="85" spans="1:8">
      <c r="A85" s="13">
        <v>79</v>
      </c>
      <c r="B85" s="13">
        <v>7</v>
      </c>
      <c r="C85" s="14" t="s">
        <v>28</v>
      </c>
      <c r="D85" s="13">
        <v>6050</v>
      </c>
      <c r="E85" s="14" t="s">
        <v>25</v>
      </c>
      <c r="F85" s="15">
        <v>8.9499999999999993</v>
      </c>
      <c r="G85" s="13">
        <v>45</v>
      </c>
      <c r="H85" s="16" t="s">
        <v>21</v>
      </c>
    </row>
    <row r="86" spans="1:8">
      <c r="A86" s="13">
        <v>80</v>
      </c>
      <c r="B86" s="13">
        <v>7</v>
      </c>
      <c r="C86" s="14" t="s">
        <v>28</v>
      </c>
      <c r="D86" s="13">
        <v>6050</v>
      </c>
      <c r="E86" s="14" t="s">
        <v>25</v>
      </c>
      <c r="F86" s="15">
        <v>8.9499999999999993</v>
      </c>
      <c r="G86" s="13">
        <v>42</v>
      </c>
      <c r="H86" s="16" t="s">
        <v>22</v>
      </c>
    </row>
    <row r="87" spans="1:8">
      <c r="A87" s="13">
        <v>81</v>
      </c>
      <c r="B87" s="13">
        <v>7</v>
      </c>
      <c r="C87" s="14" t="s">
        <v>28</v>
      </c>
      <c r="D87" s="13">
        <v>6050</v>
      </c>
      <c r="E87" s="14" t="s">
        <v>25</v>
      </c>
      <c r="F87" s="15">
        <v>8.9499999999999993</v>
      </c>
      <c r="G87" s="13">
        <v>45</v>
      </c>
      <c r="H87" s="16" t="s">
        <v>23</v>
      </c>
    </row>
    <row r="88" spans="1:8">
      <c r="A88" s="13">
        <v>82</v>
      </c>
      <c r="B88" s="13">
        <v>7</v>
      </c>
      <c r="C88" s="14" t="s">
        <v>28</v>
      </c>
      <c r="D88" s="13">
        <v>8500</v>
      </c>
      <c r="E88" s="14" t="s">
        <v>26</v>
      </c>
      <c r="F88" s="15">
        <v>849.95</v>
      </c>
      <c r="G88" s="13">
        <v>55</v>
      </c>
      <c r="H88" s="16" t="s">
        <v>21</v>
      </c>
    </row>
    <row r="89" spans="1:8">
      <c r="A89" s="13">
        <v>83</v>
      </c>
      <c r="B89" s="13">
        <v>7</v>
      </c>
      <c r="C89" s="14" t="s">
        <v>28</v>
      </c>
      <c r="D89" s="13">
        <v>8500</v>
      </c>
      <c r="E89" s="14" t="s">
        <v>26</v>
      </c>
      <c r="F89" s="15">
        <v>849.95</v>
      </c>
      <c r="G89" s="13">
        <v>57</v>
      </c>
      <c r="H89" s="16" t="s">
        <v>22</v>
      </c>
    </row>
    <row r="90" spans="1:8">
      <c r="A90" s="13">
        <v>84</v>
      </c>
      <c r="B90" s="13">
        <v>7</v>
      </c>
      <c r="C90" s="14" t="s">
        <v>28</v>
      </c>
      <c r="D90" s="13">
        <v>8500</v>
      </c>
      <c r="E90" s="14" t="s">
        <v>26</v>
      </c>
      <c r="F90" s="15">
        <v>849.95</v>
      </c>
      <c r="G90" s="13">
        <v>55</v>
      </c>
      <c r="H90" s="16" t="s">
        <v>23</v>
      </c>
    </row>
    <row r="91" spans="1:8">
      <c r="A91" s="13">
        <v>85</v>
      </c>
      <c r="B91" s="13">
        <v>8</v>
      </c>
      <c r="C91" s="14" t="s">
        <v>28</v>
      </c>
      <c r="D91" s="13">
        <v>2005</v>
      </c>
      <c r="E91" s="14" t="s">
        <v>20</v>
      </c>
      <c r="F91" s="15">
        <v>229</v>
      </c>
      <c r="G91" s="13">
        <v>18</v>
      </c>
      <c r="H91" s="16" t="s">
        <v>21</v>
      </c>
    </row>
    <row r="92" spans="1:8">
      <c r="A92" s="13">
        <v>86</v>
      </c>
      <c r="B92" s="13">
        <v>8</v>
      </c>
      <c r="C92" s="14" t="s">
        <v>28</v>
      </c>
      <c r="D92" s="13">
        <v>2005</v>
      </c>
      <c r="E92" s="14" t="s">
        <v>20</v>
      </c>
      <c r="F92" s="15">
        <v>229</v>
      </c>
      <c r="G92" s="13">
        <v>17</v>
      </c>
      <c r="H92" s="16" t="s">
        <v>22</v>
      </c>
    </row>
    <row r="93" spans="1:8">
      <c r="A93" s="13">
        <v>87</v>
      </c>
      <c r="B93" s="13">
        <v>8</v>
      </c>
      <c r="C93" s="14" t="s">
        <v>28</v>
      </c>
      <c r="D93" s="13">
        <v>2005</v>
      </c>
      <c r="E93" s="14" t="s">
        <v>20</v>
      </c>
      <c r="F93" s="15">
        <v>229</v>
      </c>
      <c r="G93" s="13">
        <v>23</v>
      </c>
      <c r="H93" s="16" t="s">
        <v>23</v>
      </c>
    </row>
    <row r="94" spans="1:8">
      <c r="A94" s="13">
        <v>88</v>
      </c>
      <c r="B94" s="13">
        <v>8</v>
      </c>
      <c r="C94" s="14" t="s">
        <v>28</v>
      </c>
      <c r="D94" s="13">
        <v>3006</v>
      </c>
      <c r="E94" s="14" t="s">
        <v>24</v>
      </c>
      <c r="F94" s="15">
        <v>19.95</v>
      </c>
      <c r="G94" s="13">
        <v>22</v>
      </c>
      <c r="H94" s="16" t="s">
        <v>21</v>
      </c>
    </row>
    <row r="95" spans="1:8">
      <c r="A95" s="13">
        <v>89</v>
      </c>
      <c r="B95" s="13">
        <v>8</v>
      </c>
      <c r="C95" s="14" t="s">
        <v>28</v>
      </c>
      <c r="D95" s="13">
        <v>3006</v>
      </c>
      <c r="E95" s="14" t="s">
        <v>24</v>
      </c>
      <c r="F95" s="15">
        <v>19.95</v>
      </c>
      <c r="G95" s="13">
        <v>18</v>
      </c>
      <c r="H95" s="16" t="s">
        <v>22</v>
      </c>
    </row>
    <row r="96" spans="1:8">
      <c r="A96" s="13">
        <v>90</v>
      </c>
      <c r="B96" s="13">
        <v>8</v>
      </c>
      <c r="C96" s="14" t="s">
        <v>28</v>
      </c>
      <c r="D96" s="13">
        <v>3006</v>
      </c>
      <c r="E96" s="14" t="s">
        <v>24</v>
      </c>
      <c r="F96" s="15">
        <v>19.95</v>
      </c>
      <c r="G96" s="13">
        <v>22</v>
      </c>
      <c r="H96" s="16" t="s">
        <v>23</v>
      </c>
    </row>
    <row r="97" spans="1:8">
      <c r="A97" s="13">
        <v>91</v>
      </c>
      <c r="B97" s="13">
        <v>8</v>
      </c>
      <c r="C97" s="14" t="s">
        <v>28</v>
      </c>
      <c r="D97" s="13">
        <v>6050</v>
      </c>
      <c r="E97" s="14" t="s">
        <v>25</v>
      </c>
      <c r="F97" s="15">
        <v>8.9499999999999993</v>
      </c>
      <c r="G97" s="13">
        <v>14</v>
      </c>
      <c r="H97" s="16" t="s">
        <v>21</v>
      </c>
    </row>
    <row r="98" spans="1:8">
      <c r="A98" s="13">
        <v>92</v>
      </c>
      <c r="B98" s="13">
        <v>8</v>
      </c>
      <c r="C98" s="14" t="s">
        <v>28</v>
      </c>
      <c r="D98" s="13">
        <v>6050</v>
      </c>
      <c r="E98" s="14" t="s">
        <v>25</v>
      </c>
      <c r="F98" s="15">
        <v>8.9499999999999993</v>
      </c>
      <c r="G98" s="13">
        <v>16</v>
      </c>
      <c r="H98" s="16" t="s">
        <v>22</v>
      </c>
    </row>
    <row r="99" spans="1:8">
      <c r="A99" s="13">
        <v>93</v>
      </c>
      <c r="B99" s="13">
        <v>8</v>
      </c>
      <c r="C99" s="14" t="s">
        <v>28</v>
      </c>
      <c r="D99" s="13">
        <v>6050</v>
      </c>
      <c r="E99" s="14" t="s">
        <v>25</v>
      </c>
      <c r="F99" s="15">
        <v>8.9499999999999993</v>
      </c>
      <c r="G99" s="13">
        <v>17</v>
      </c>
      <c r="H99" s="16" t="s">
        <v>23</v>
      </c>
    </row>
    <row r="100" spans="1:8">
      <c r="A100" s="13">
        <v>94</v>
      </c>
      <c r="B100" s="13">
        <v>8</v>
      </c>
      <c r="C100" s="14" t="s">
        <v>28</v>
      </c>
      <c r="D100" s="13">
        <v>8500</v>
      </c>
      <c r="E100" s="14" t="s">
        <v>26</v>
      </c>
      <c r="F100" s="15">
        <v>849.95</v>
      </c>
      <c r="G100" s="13">
        <v>32</v>
      </c>
      <c r="H100" s="16" t="s">
        <v>21</v>
      </c>
    </row>
    <row r="101" spans="1:8">
      <c r="A101" s="13">
        <v>95</v>
      </c>
      <c r="B101" s="13">
        <v>8</v>
      </c>
      <c r="C101" s="14" t="s">
        <v>28</v>
      </c>
      <c r="D101" s="13">
        <v>8500</v>
      </c>
      <c r="E101" s="14" t="s">
        <v>26</v>
      </c>
      <c r="F101" s="15">
        <v>849.95</v>
      </c>
      <c r="G101" s="13">
        <v>28</v>
      </c>
      <c r="H101" s="16" t="s">
        <v>22</v>
      </c>
    </row>
    <row r="102" spans="1:8">
      <c r="A102" s="13">
        <v>96</v>
      </c>
      <c r="B102" s="13">
        <v>8</v>
      </c>
      <c r="C102" s="14" t="s">
        <v>28</v>
      </c>
      <c r="D102" s="13">
        <v>8500</v>
      </c>
      <c r="E102" s="14" t="s">
        <v>26</v>
      </c>
      <c r="F102" s="15">
        <v>849.95</v>
      </c>
      <c r="G102" s="13">
        <v>30</v>
      </c>
      <c r="H102" s="16" t="s">
        <v>23</v>
      </c>
    </row>
  </sheetData>
  <conditionalFormatting sqref="G6:G102">
    <cfRule type="iconSet" priority="1">
      <iconSet iconSet="4TrafficLights">
        <cfvo type="percent" val="0"/>
        <cfvo type="num" val="10"/>
        <cfvo type="num" val="20"/>
        <cfvo type="num" val="30"/>
      </iconSet>
    </cfRule>
    <cfRule type="iconSet" priority="2">
      <iconSet iconSet="3Arrows">
        <cfvo type="percent" val="0"/>
        <cfvo type="percent" val="20"/>
        <cfvo type="percent" val="30"/>
      </iconSet>
    </cfRule>
    <cfRule type="iconSet" priority="6">
      <iconSet iconSet="3Arrows">
        <cfvo type="percent" val="0"/>
        <cfvo type="percent" val="33"/>
        <cfvo type="percent" val="67"/>
      </iconSet>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D8D07-2F19-4A40-9D8F-210EF91900EF}">
  <dimension ref="A1:J91"/>
  <sheetViews>
    <sheetView topLeftCell="A2" zoomScale="55" zoomScaleNormal="55" workbookViewId="0">
      <selection activeCell="V35" sqref="V35"/>
    </sheetView>
  </sheetViews>
  <sheetFormatPr defaultRowHeight="15"/>
  <cols>
    <col min="1" max="1" width="12.28515625" customWidth="1"/>
    <col min="2" max="2" width="18" bestFit="1" customWidth="1"/>
    <col min="3" max="3" width="11.140625" bestFit="1" customWidth="1"/>
    <col min="4" max="4" width="11" bestFit="1" customWidth="1"/>
    <col min="5" max="5" width="12.42578125" bestFit="1" customWidth="1"/>
    <col min="6" max="6" width="17.140625" bestFit="1" customWidth="1"/>
    <col min="7" max="8" width="8.7109375"/>
    <col min="9" max="9" width="19.140625" style="7" customWidth="1"/>
    <col min="10" max="10" width="8.85546875" style="7"/>
  </cols>
  <sheetData>
    <row r="1" spans="1:10">
      <c r="A1" s="5" t="s">
        <v>0</v>
      </c>
    </row>
    <row r="2" spans="1:10">
      <c r="A2" s="5" t="s">
        <v>37</v>
      </c>
    </row>
    <row r="4" spans="1:10">
      <c r="A4" s="2" t="s">
        <v>29</v>
      </c>
    </row>
    <row r="5" spans="1:10" ht="15.75" thickBot="1">
      <c r="H5" t="s">
        <v>41</v>
      </c>
    </row>
    <row r="6" spans="1:10" ht="15.75" thickBot="1">
      <c r="A6" s="3" t="s">
        <v>30</v>
      </c>
      <c r="B6" s="3" t="s">
        <v>31</v>
      </c>
      <c r="C6" s="3" t="s">
        <v>32</v>
      </c>
      <c r="D6" s="3" t="s">
        <v>33</v>
      </c>
      <c r="E6" s="3" t="s">
        <v>34</v>
      </c>
      <c r="F6" s="3" t="s">
        <v>35</v>
      </c>
      <c r="G6" s="19"/>
      <c r="H6" s="22" t="s">
        <v>38</v>
      </c>
      <c r="I6" s="22" t="s">
        <v>40</v>
      </c>
      <c r="J6"/>
    </row>
    <row r="7" spans="1:10" ht="15.75" thickTop="1">
      <c r="A7" s="4">
        <v>1</v>
      </c>
      <c r="B7" s="18">
        <v>0.51</v>
      </c>
      <c r="C7" s="20">
        <v>170</v>
      </c>
      <c r="D7" s="20">
        <f>B7*C7</f>
        <v>86.7</v>
      </c>
      <c r="E7" s="4">
        <v>1</v>
      </c>
      <c r="F7" s="4">
        <v>2</v>
      </c>
      <c r="H7">
        <v>170</v>
      </c>
      <c r="I7">
        <v>1</v>
      </c>
      <c r="J7"/>
    </row>
    <row r="8" spans="1:10">
      <c r="A8" s="4">
        <v>2</v>
      </c>
      <c r="B8" s="18">
        <v>0.32</v>
      </c>
      <c r="C8" s="20">
        <v>181</v>
      </c>
      <c r="D8" s="20">
        <f t="shared" ref="D8:D66" si="0">B8*C8</f>
        <v>57.92</v>
      </c>
      <c r="E8" s="4">
        <v>3</v>
      </c>
      <c r="F8" s="4">
        <v>4</v>
      </c>
      <c r="H8">
        <v>25731.571428571428</v>
      </c>
      <c r="I8">
        <v>38</v>
      </c>
      <c r="J8"/>
    </row>
    <row r="9" spans="1:10">
      <c r="A9" s="4">
        <v>3</v>
      </c>
      <c r="B9" s="18">
        <v>0.2</v>
      </c>
      <c r="C9" s="20">
        <v>203</v>
      </c>
      <c r="D9" s="20">
        <f t="shared" si="0"/>
        <v>40.6</v>
      </c>
      <c r="E9" s="4">
        <v>2</v>
      </c>
      <c r="F9" s="4">
        <v>2</v>
      </c>
      <c r="H9">
        <v>51293.142857142855</v>
      </c>
      <c r="I9">
        <v>11</v>
      </c>
      <c r="J9"/>
    </row>
    <row r="10" spans="1:10">
      <c r="A10" s="4">
        <v>4</v>
      </c>
      <c r="B10" s="18">
        <v>0.22</v>
      </c>
      <c r="C10" s="20">
        <v>249</v>
      </c>
      <c r="D10" s="20">
        <f t="shared" si="0"/>
        <v>54.78</v>
      </c>
      <c r="E10" s="4">
        <v>5</v>
      </c>
      <c r="F10" s="4">
        <v>1</v>
      </c>
      <c r="H10">
        <v>76854.71428571429</v>
      </c>
      <c r="I10">
        <v>4</v>
      </c>
      <c r="J10"/>
    </row>
    <row r="11" spans="1:10">
      <c r="A11" s="4">
        <v>5</v>
      </c>
      <c r="B11" s="18">
        <v>0.21</v>
      </c>
      <c r="C11" s="20">
        <v>476</v>
      </c>
      <c r="D11" s="20">
        <f t="shared" si="0"/>
        <v>99.96</v>
      </c>
      <c r="E11" s="4">
        <v>5</v>
      </c>
      <c r="F11" s="4">
        <v>1</v>
      </c>
      <c r="H11">
        <v>102416.28571428571</v>
      </c>
      <c r="I11">
        <v>2</v>
      </c>
      <c r="J11"/>
    </row>
    <row r="12" spans="1:10">
      <c r="A12" s="4">
        <v>6</v>
      </c>
      <c r="B12" s="18">
        <v>0.21</v>
      </c>
      <c r="C12" s="20">
        <v>476</v>
      </c>
      <c r="D12" s="20">
        <f t="shared" si="0"/>
        <v>99.96</v>
      </c>
      <c r="E12" s="4">
        <v>5</v>
      </c>
      <c r="F12" s="4">
        <v>4</v>
      </c>
      <c r="H12">
        <v>127977.85714285713</v>
      </c>
      <c r="I12">
        <v>3</v>
      </c>
      <c r="J12"/>
    </row>
    <row r="13" spans="1:10">
      <c r="A13" s="4">
        <v>7</v>
      </c>
      <c r="B13" s="18">
        <v>0.22</v>
      </c>
      <c r="C13" s="20">
        <v>635</v>
      </c>
      <c r="D13" s="20">
        <f t="shared" si="0"/>
        <v>139.69999999999999</v>
      </c>
      <c r="E13" s="4">
        <v>2</v>
      </c>
      <c r="F13" s="4">
        <v>3</v>
      </c>
      <c r="H13">
        <v>153539.42857142858</v>
      </c>
      <c r="I13">
        <v>0</v>
      </c>
      <c r="J13"/>
    </row>
    <row r="14" spans="1:10" ht="15.75" thickBot="1">
      <c r="A14" s="4">
        <v>8</v>
      </c>
      <c r="B14" s="18">
        <v>0.34</v>
      </c>
      <c r="C14" s="20">
        <v>856</v>
      </c>
      <c r="D14" s="20">
        <f t="shared" si="0"/>
        <v>291.04000000000002</v>
      </c>
      <c r="E14" s="4">
        <v>3</v>
      </c>
      <c r="F14" s="4">
        <v>3</v>
      </c>
      <c r="H14" s="21" t="s">
        <v>39</v>
      </c>
      <c r="I14" s="21">
        <v>1</v>
      </c>
      <c r="J14"/>
    </row>
    <row r="15" spans="1:10">
      <c r="A15" s="4">
        <v>9</v>
      </c>
      <c r="B15" s="18">
        <v>0.26</v>
      </c>
      <c r="C15" s="20">
        <v>1062</v>
      </c>
      <c r="D15" s="20">
        <f t="shared" si="0"/>
        <v>276.12</v>
      </c>
      <c r="E15" s="4">
        <v>4</v>
      </c>
      <c r="F15" s="4">
        <v>2</v>
      </c>
      <c r="I15"/>
      <c r="J15"/>
    </row>
    <row r="16" spans="1:10">
      <c r="A16" s="4">
        <v>10</v>
      </c>
      <c r="B16" s="18">
        <v>0.16550000000000001</v>
      </c>
      <c r="C16" s="20">
        <v>1110</v>
      </c>
      <c r="D16" s="20">
        <f t="shared" si="0"/>
        <v>183.70500000000001</v>
      </c>
      <c r="E16" s="4">
        <v>7</v>
      </c>
      <c r="F16" s="4">
        <v>3</v>
      </c>
      <c r="I16"/>
      <c r="J16"/>
    </row>
    <row r="17" spans="1:10">
      <c r="A17" s="4">
        <v>11</v>
      </c>
      <c r="B17" s="18">
        <v>0.2</v>
      </c>
      <c r="C17" s="20">
        <v>1153</v>
      </c>
      <c r="D17" s="20">
        <f t="shared" si="0"/>
        <v>230.60000000000002</v>
      </c>
      <c r="E17" s="4">
        <v>7</v>
      </c>
      <c r="F17" s="4">
        <v>3</v>
      </c>
      <c r="I17"/>
      <c r="J17"/>
    </row>
    <row r="18" spans="1:10" ht="15.75" thickBot="1">
      <c r="A18" s="4">
        <v>12</v>
      </c>
      <c r="B18" s="18">
        <v>0.36</v>
      </c>
      <c r="C18" s="20">
        <v>1392</v>
      </c>
      <c r="D18" s="20">
        <f t="shared" si="0"/>
        <v>501.12</v>
      </c>
      <c r="E18" s="4">
        <v>4</v>
      </c>
      <c r="F18" s="4">
        <v>2</v>
      </c>
      <c r="H18" t="s">
        <v>42</v>
      </c>
      <c r="I18"/>
      <c r="J18"/>
    </row>
    <row r="19" spans="1:10">
      <c r="A19" s="4">
        <v>13</v>
      </c>
      <c r="B19" s="18">
        <v>0.18</v>
      </c>
      <c r="C19" s="20">
        <v>1743</v>
      </c>
      <c r="D19" s="20">
        <f t="shared" si="0"/>
        <v>313.74</v>
      </c>
      <c r="E19" s="4">
        <v>4</v>
      </c>
      <c r="F19" s="4">
        <v>2</v>
      </c>
      <c r="H19" s="22" t="s">
        <v>38</v>
      </c>
      <c r="I19" s="22" t="s">
        <v>40</v>
      </c>
      <c r="J19"/>
    </row>
    <row r="20" spans="1:10">
      <c r="A20" s="4">
        <v>14</v>
      </c>
      <c r="B20" s="18">
        <v>0.2</v>
      </c>
      <c r="C20" s="20">
        <v>2307</v>
      </c>
      <c r="D20" s="20">
        <f t="shared" si="0"/>
        <v>461.40000000000003</v>
      </c>
      <c r="E20" s="4">
        <v>7</v>
      </c>
      <c r="F20" s="4">
        <v>3</v>
      </c>
      <c r="H20">
        <v>40.6</v>
      </c>
      <c r="I20">
        <v>1</v>
      </c>
      <c r="J20"/>
    </row>
    <row r="21" spans="1:10">
      <c r="A21" s="4">
        <v>15</v>
      </c>
      <c r="B21" s="18">
        <v>0.05</v>
      </c>
      <c r="C21" s="20">
        <v>2534</v>
      </c>
      <c r="D21" s="20">
        <f t="shared" si="0"/>
        <v>126.7</v>
      </c>
      <c r="E21" s="4">
        <v>4</v>
      </c>
      <c r="F21" s="4">
        <v>5</v>
      </c>
      <c r="H21">
        <v>3660.42</v>
      </c>
      <c r="I21">
        <v>39</v>
      </c>
      <c r="J21"/>
    </row>
    <row r="22" spans="1:10">
      <c r="A22" s="4">
        <v>16</v>
      </c>
      <c r="B22" s="18">
        <v>0.28999999999999998</v>
      </c>
      <c r="C22" s="20">
        <v>2683</v>
      </c>
      <c r="D22" s="20">
        <f t="shared" si="0"/>
        <v>778.06999999999994</v>
      </c>
      <c r="E22" s="4">
        <v>7</v>
      </c>
      <c r="F22" s="4">
        <v>2</v>
      </c>
      <c r="H22">
        <v>7280.2400000000007</v>
      </c>
      <c r="I22">
        <v>8</v>
      </c>
      <c r="J22"/>
    </row>
    <row r="23" spans="1:10">
      <c r="A23" s="4">
        <v>17</v>
      </c>
      <c r="B23" s="18">
        <v>0.1</v>
      </c>
      <c r="C23" s="20">
        <v>2780</v>
      </c>
      <c r="D23" s="20">
        <f t="shared" si="0"/>
        <v>278</v>
      </c>
      <c r="E23" s="4">
        <v>2</v>
      </c>
      <c r="F23" s="4">
        <v>3</v>
      </c>
      <c r="H23">
        <v>10900.060000000001</v>
      </c>
      <c r="I23">
        <v>3</v>
      </c>
      <c r="J23"/>
    </row>
    <row r="24" spans="1:10">
      <c r="A24" s="4">
        <v>18</v>
      </c>
      <c r="B24" s="18">
        <v>0.37</v>
      </c>
      <c r="C24" s="20">
        <v>3272</v>
      </c>
      <c r="D24" s="20">
        <f t="shared" si="0"/>
        <v>1210.6399999999999</v>
      </c>
      <c r="E24" s="4">
        <v>5</v>
      </c>
      <c r="F24" s="4">
        <v>3</v>
      </c>
      <c r="H24">
        <v>14519.880000000001</v>
      </c>
      <c r="I24">
        <v>5</v>
      </c>
      <c r="J24"/>
    </row>
    <row r="25" spans="1:10">
      <c r="A25" s="4">
        <v>19</v>
      </c>
      <c r="B25" s="18">
        <v>0.6</v>
      </c>
      <c r="C25" s="20">
        <v>3864</v>
      </c>
      <c r="D25" s="20">
        <f t="shared" si="0"/>
        <v>2318.4</v>
      </c>
      <c r="E25" s="4">
        <v>7</v>
      </c>
      <c r="F25" s="4">
        <v>1</v>
      </c>
      <c r="H25">
        <v>18139.7</v>
      </c>
      <c r="I25">
        <v>2</v>
      </c>
      <c r="J25"/>
    </row>
    <row r="26" spans="1:10">
      <c r="A26" s="4">
        <v>20</v>
      </c>
      <c r="B26" s="18">
        <v>0.24</v>
      </c>
      <c r="C26" s="20">
        <v>3988</v>
      </c>
      <c r="D26" s="20">
        <f t="shared" si="0"/>
        <v>957.12</v>
      </c>
      <c r="E26" s="4">
        <v>6</v>
      </c>
      <c r="F26" s="4">
        <v>3</v>
      </c>
      <c r="H26">
        <v>21759.52</v>
      </c>
      <c r="I26">
        <v>0</v>
      </c>
      <c r="J26"/>
    </row>
    <row r="27" spans="1:10" ht="15.75" thickBot="1">
      <c r="A27" s="4">
        <v>21</v>
      </c>
      <c r="B27" s="18">
        <v>0.09</v>
      </c>
      <c r="C27" s="20">
        <v>4072</v>
      </c>
      <c r="D27" s="20">
        <f t="shared" si="0"/>
        <v>366.47999999999996</v>
      </c>
      <c r="E27" s="4">
        <v>7</v>
      </c>
      <c r="F27" s="4">
        <v>3</v>
      </c>
      <c r="H27" s="21" t="s">
        <v>39</v>
      </c>
      <c r="I27" s="21">
        <v>2</v>
      </c>
      <c r="J27"/>
    </row>
    <row r="28" spans="1:10">
      <c r="A28" s="4">
        <v>22</v>
      </c>
      <c r="B28" s="18">
        <v>0.5</v>
      </c>
      <c r="C28" s="20">
        <v>4190</v>
      </c>
      <c r="D28" s="20">
        <f t="shared" si="0"/>
        <v>2095</v>
      </c>
      <c r="E28" s="4">
        <v>5</v>
      </c>
      <c r="F28" s="4">
        <v>3</v>
      </c>
      <c r="I28"/>
      <c r="J28"/>
    </row>
    <row r="29" spans="1:10">
      <c r="A29" s="4">
        <v>23</v>
      </c>
      <c r="B29" s="18">
        <v>0.17</v>
      </c>
      <c r="C29" s="20">
        <v>4219</v>
      </c>
      <c r="D29" s="20">
        <f t="shared" si="0"/>
        <v>717.23</v>
      </c>
      <c r="E29" s="4">
        <v>3</v>
      </c>
      <c r="F29" s="4">
        <v>4</v>
      </c>
      <c r="I29"/>
      <c r="J29"/>
    </row>
    <row r="30" spans="1:10">
      <c r="A30" s="4">
        <v>24</v>
      </c>
      <c r="B30" s="18">
        <v>0.32</v>
      </c>
      <c r="C30" s="20">
        <v>4711</v>
      </c>
      <c r="D30" s="20">
        <f t="shared" si="0"/>
        <v>1507.52</v>
      </c>
      <c r="E30" s="4">
        <v>7</v>
      </c>
      <c r="F30" s="4">
        <v>1</v>
      </c>
      <c r="I30"/>
      <c r="J30"/>
    </row>
    <row r="31" spans="1:10" ht="15.75" thickBot="1">
      <c r="A31" s="4">
        <v>25</v>
      </c>
      <c r="B31" s="18">
        <v>0.15</v>
      </c>
      <c r="C31" s="20">
        <v>4824</v>
      </c>
      <c r="D31" s="20">
        <f t="shared" si="0"/>
        <v>723.6</v>
      </c>
      <c r="E31" s="4">
        <v>6</v>
      </c>
      <c r="F31" s="4">
        <v>3</v>
      </c>
      <c r="H31" t="s">
        <v>44</v>
      </c>
      <c r="I31"/>
      <c r="J31"/>
    </row>
    <row r="32" spans="1:10">
      <c r="A32" s="4">
        <v>26</v>
      </c>
      <c r="B32" s="18">
        <v>0.1</v>
      </c>
      <c r="C32" s="20">
        <v>4878</v>
      </c>
      <c r="D32" s="20">
        <f t="shared" si="0"/>
        <v>487.8</v>
      </c>
      <c r="E32" s="4">
        <v>7</v>
      </c>
      <c r="F32" s="4">
        <v>4</v>
      </c>
      <c r="H32" s="22" t="s">
        <v>38</v>
      </c>
      <c r="I32" s="22" t="s">
        <v>40</v>
      </c>
      <c r="J32"/>
    </row>
    <row r="33" spans="1:10">
      <c r="A33" s="4">
        <v>27</v>
      </c>
      <c r="B33" s="18">
        <v>0.13</v>
      </c>
      <c r="C33" s="20">
        <v>5157</v>
      </c>
      <c r="D33" s="20">
        <f t="shared" si="0"/>
        <v>670.41</v>
      </c>
      <c r="E33" s="4">
        <v>7</v>
      </c>
      <c r="F33" s="4">
        <v>2</v>
      </c>
      <c r="H33">
        <v>500</v>
      </c>
      <c r="I33">
        <v>6</v>
      </c>
      <c r="J33"/>
    </row>
    <row r="34" spans="1:10">
      <c r="A34" s="4">
        <v>28</v>
      </c>
      <c r="B34" s="18">
        <v>0.22</v>
      </c>
      <c r="C34" s="20">
        <v>5552</v>
      </c>
      <c r="D34" s="20">
        <f t="shared" si="0"/>
        <v>1221.44</v>
      </c>
      <c r="E34" s="4">
        <v>2</v>
      </c>
      <c r="F34" s="4">
        <v>3</v>
      </c>
      <c r="H34">
        <v>1000</v>
      </c>
      <c r="I34">
        <v>2</v>
      </c>
      <c r="J34"/>
    </row>
    <row r="35" spans="1:10">
      <c r="A35" s="4">
        <v>29</v>
      </c>
      <c r="B35" s="18">
        <v>0.17</v>
      </c>
      <c r="C35" s="20">
        <v>5876</v>
      </c>
      <c r="D35" s="20">
        <f t="shared" si="0"/>
        <v>998.92000000000007</v>
      </c>
      <c r="E35" s="4">
        <v>1</v>
      </c>
      <c r="F35" s="4">
        <v>3</v>
      </c>
      <c r="H35">
        <v>5000</v>
      </c>
      <c r="I35">
        <v>18</v>
      </c>
      <c r="J35"/>
    </row>
    <row r="36" spans="1:10">
      <c r="A36" s="4">
        <v>30</v>
      </c>
      <c r="B36" s="18">
        <v>0.19</v>
      </c>
      <c r="C36" s="20">
        <v>5888</v>
      </c>
      <c r="D36" s="20">
        <f t="shared" si="0"/>
        <v>1118.72</v>
      </c>
      <c r="E36" s="4">
        <v>6</v>
      </c>
      <c r="F36" s="4">
        <v>4</v>
      </c>
      <c r="H36">
        <v>10000</v>
      </c>
      <c r="I36">
        <v>6</v>
      </c>
      <c r="J36"/>
    </row>
    <row r="37" spans="1:10">
      <c r="A37" s="4">
        <v>31</v>
      </c>
      <c r="B37" s="18">
        <v>0.06</v>
      </c>
      <c r="C37" s="20">
        <v>7632</v>
      </c>
      <c r="D37" s="20">
        <f t="shared" si="0"/>
        <v>457.91999999999996</v>
      </c>
      <c r="E37" s="4">
        <v>5</v>
      </c>
      <c r="F37" s="4">
        <v>4</v>
      </c>
      <c r="H37">
        <v>20000</v>
      </c>
      <c r="I37">
        <v>6</v>
      </c>
      <c r="J37"/>
    </row>
    <row r="38" spans="1:10">
      <c r="A38" s="4">
        <v>32</v>
      </c>
      <c r="B38" s="18">
        <v>0.23</v>
      </c>
      <c r="C38" s="20">
        <v>8058</v>
      </c>
      <c r="D38" s="20">
        <f t="shared" si="0"/>
        <v>1853.3400000000001</v>
      </c>
      <c r="E38" s="4">
        <v>3</v>
      </c>
      <c r="F38" s="4">
        <v>3</v>
      </c>
      <c r="H38">
        <v>30000</v>
      </c>
      <c r="I38">
        <v>5</v>
      </c>
      <c r="J38"/>
    </row>
    <row r="39" spans="1:10">
      <c r="A39" s="4">
        <v>33</v>
      </c>
      <c r="B39" s="18">
        <v>0.23</v>
      </c>
      <c r="C39" s="20">
        <v>12056</v>
      </c>
      <c r="D39" s="20">
        <f t="shared" si="0"/>
        <v>2772.88</v>
      </c>
      <c r="E39" s="4">
        <v>7</v>
      </c>
      <c r="F39" s="4">
        <v>2</v>
      </c>
      <c r="H39">
        <v>40000</v>
      </c>
      <c r="I39">
        <v>6</v>
      </c>
      <c r="J39"/>
    </row>
    <row r="40" spans="1:10">
      <c r="A40" s="4">
        <v>34</v>
      </c>
      <c r="B40" s="18">
        <v>0.14000000000000001</v>
      </c>
      <c r="C40" s="20">
        <v>12981</v>
      </c>
      <c r="D40" s="20">
        <f t="shared" si="0"/>
        <v>1817.3400000000001</v>
      </c>
      <c r="E40" s="4">
        <v>2</v>
      </c>
      <c r="F40" s="4">
        <v>4</v>
      </c>
      <c r="H40">
        <v>50000</v>
      </c>
      <c r="I40">
        <v>1</v>
      </c>
      <c r="J40"/>
    </row>
    <row r="41" spans="1:10">
      <c r="A41" s="4">
        <v>35</v>
      </c>
      <c r="B41" s="18">
        <v>0.22</v>
      </c>
      <c r="C41" s="20">
        <v>13406</v>
      </c>
      <c r="D41" s="20">
        <f t="shared" si="0"/>
        <v>2949.32</v>
      </c>
      <c r="E41" s="4">
        <v>2</v>
      </c>
      <c r="F41" s="4">
        <v>3</v>
      </c>
      <c r="H41">
        <v>100000</v>
      </c>
      <c r="I41">
        <v>6</v>
      </c>
      <c r="J41"/>
    </row>
    <row r="42" spans="1:10">
      <c r="A42" s="4">
        <v>36</v>
      </c>
      <c r="B42" s="18">
        <v>0.14000000000000001</v>
      </c>
      <c r="C42" s="20">
        <v>15882</v>
      </c>
      <c r="D42" s="20">
        <f t="shared" si="0"/>
        <v>2223.48</v>
      </c>
      <c r="E42" s="4">
        <v>7</v>
      </c>
      <c r="F42" s="4">
        <v>3</v>
      </c>
      <c r="H42">
        <v>200000</v>
      </c>
      <c r="I42">
        <v>4</v>
      </c>
      <c r="J42"/>
    </row>
    <row r="43" spans="1:10" ht="15.75" thickBot="1">
      <c r="A43" s="4">
        <v>37</v>
      </c>
      <c r="B43" s="18">
        <v>0.28000000000000003</v>
      </c>
      <c r="C43" s="20">
        <v>16343</v>
      </c>
      <c r="D43" s="20">
        <f t="shared" si="0"/>
        <v>4576.0400000000009</v>
      </c>
      <c r="E43" s="4">
        <v>3</v>
      </c>
      <c r="F43" s="4">
        <v>3</v>
      </c>
      <c r="H43" s="21" t="s">
        <v>39</v>
      </c>
      <c r="I43" s="21">
        <v>0</v>
      </c>
      <c r="J43"/>
    </row>
    <row r="44" spans="1:10">
      <c r="A44" s="4">
        <v>38</v>
      </c>
      <c r="B44" s="18">
        <v>0.27</v>
      </c>
      <c r="C44" s="20">
        <v>19985</v>
      </c>
      <c r="D44" s="20">
        <f t="shared" si="0"/>
        <v>5395.9500000000007</v>
      </c>
      <c r="E44" s="4">
        <v>5</v>
      </c>
      <c r="F44" s="4">
        <v>3</v>
      </c>
      <c r="I44"/>
      <c r="J44"/>
    </row>
    <row r="45" spans="1:10">
      <c r="A45" s="4">
        <v>39</v>
      </c>
      <c r="B45" s="18">
        <v>0.03</v>
      </c>
      <c r="C45" s="20">
        <v>20160</v>
      </c>
      <c r="D45" s="20">
        <f t="shared" si="0"/>
        <v>604.79999999999995</v>
      </c>
      <c r="E45" s="4">
        <v>5</v>
      </c>
      <c r="F45" s="4">
        <v>5</v>
      </c>
    </row>
    <row r="46" spans="1:10" ht="15.75" thickBot="1">
      <c r="A46" s="4">
        <v>40</v>
      </c>
      <c r="B46" s="18">
        <v>0.46</v>
      </c>
      <c r="C46" s="20">
        <v>26616</v>
      </c>
      <c r="D46" s="20">
        <f t="shared" si="0"/>
        <v>12243.36</v>
      </c>
      <c r="E46" s="4">
        <v>5</v>
      </c>
      <c r="F46" s="4">
        <v>2</v>
      </c>
      <c r="H46" t="s">
        <v>45</v>
      </c>
    </row>
    <row r="47" spans="1:10">
      <c r="A47" s="4">
        <v>41</v>
      </c>
      <c r="B47" s="18">
        <v>0.26</v>
      </c>
      <c r="C47" s="20">
        <v>28018</v>
      </c>
      <c r="D47" s="20">
        <f t="shared" si="0"/>
        <v>7284.68</v>
      </c>
      <c r="E47" s="4">
        <v>5</v>
      </c>
      <c r="F47" s="4">
        <v>3</v>
      </c>
      <c r="H47" s="22" t="s">
        <v>38</v>
      </c>
      <c r="I47" s="22" t="s">
        <v>40</v>
      </c>
      <c r="J47"/>
    </row>
    <row r="48" spans="1:10">
      <c r="A48" s="4">
        <v>42</v>
      </c>
      <c r="B48" s="18">
        <v>0.11</v>
      </c>
      <c r="C48" s="20">
        <v>28950</v>
      </c>
      <c r="D48" s="20">
        <f t="shared" si="0"/>
        <v>3184.5</v>
      </c>
      <c r="E48" s="4">
        <v>4</v>
      </c>
      <c r="F48" s="4">
        <v>4</v>
      </c>
      <c r="H48">
        <v>500</v>
      </c>
      <c r="I48">
        <v>18</v>
      </c>
      <c r="J48"/>
    </row>
    <row r="49" spans="1:10">
      <c r="A49" s="4">
        <v>43</v>
      </c>
      <c r="B49" s="18">
        <v>0.18</v>
      </c>
      <c r="C49" s="20">
        <v>29646</v>
      </c>
      <c r="D49" s="20">
        <f t="shared" si="0"/>
        <v>5336.28</v>
      </c>
      <c r="E49" s="4">
        <v>4</v>
      </c>
      <c r="F49" s="4">
        <v>3</v>
      </c>
      <c r="H49">
        <v>1000</v>
      </c>
      <c r="I49">
        <v>8</v>
      </c>
      <c r="J49"/>
    </row>
    <row r="50" spans="1:10">
      <c r="A50" s="4">
        <v>44</v>
      </c>
      <c r="B50" s="18">
        <v>0.37</v>
      </c>
      <c r="C50" s="20">
        <v>31019</v>
      </c>
      <c r="D50" s="20">
        <f t="shared" si="0"/>
        <v>11477.03</v>
      </c>
      <c r="E50" s="4">
        <v>6</v>
      </c>
      <c r="F50" s="4">
        <v>1</v>
      </c>
      <c r="H50">
        <v>5000</v>
      </c>
      <c r="I50">
        <v>15</v>
      </c>
      <c r="J50"/>
    </row>
    <row r="51" spans="1:10">
      <c r="A51" s="4">
        <v>45</v>
      </c>
      <c r="B51" s="18">
        <v>0.2</v>
      </c>
      <c r="C51" s="20">
        <v>31305</v>
      </c>
      <c r="D51" s="20">
        <f t="shared" si="0"/>
        <v>6261</v>
      </c>
      <c r="E51" s="4">
        <v>2</v>
      </c>
      <c r="F51" s="4">
        <v>3</v>
      </c>
      <c r="H51">
        <v>10000</v>
      </c>
      <c r="I51">
        <v>10</v>
      </c>
      <c r="J51"/>
    </row>
    <row r="52" spans="1:10">
      <c r="A52" s="4">
        <v>46</v>
      </c>
      <c r="B52" s="18">
        <v>0.21</v>
      </c>
      <c r="C52" s="20">
        <v>34769</v>
      </c>
      <c r="D52" s="20">
        <f t="shared" si="0"/>
        <v>7301.49</v>
      </c>
      <c r="E52" s="4">
        <v>7</v>
      </c>
      <c r="F52" s="4">
        <v>1</v>
      </c>
      <c r="H52">
        <v>20000</v>
      </c>
      <c r="I52">
        <v>7</v>
      </c>
      <c r="J52"/>
    </row>
    <row r="53" spans="1:10">
      <c r="A53" s="4">
        <v>47</v>
      </c>
      <c r="B53" s="18">
        <v>0.1</v>
      </c>
      <c r="C53" s="20">
        <v>34817</v>
      </c>
      <c r="D53" s="20">
        <f t="shared" si="0"/>
        <v>3481.7000000000003</v>
      </c>
      <c r="E53" s="4">
        <v>4</v>
      </c>
      <c r="F53" s="4">
        <v>3</v>
      </c>
      <c r="H53">
        <v>30000</v>
      </c>
      <c r="I53">
        <v>2</v>
      </c>
      <c r="J53"/>
    </row>
    <row r="54" spans="1:10" ht="15.75" thickBot="1">
      <c r="A54" s="4">
        <v>48</v>
      </c>
      <c r="B54" s="18">
        <v>0.14000000000000001</v>
      </c>
      <c r="C54" s="20">
        <v>38609</v>
      </c>
      <c r="D54" s="20">
        <f t="shared" si="0"/>
        <v>5405.26</v>
      </c>
      <c r="E54" s="4">
        <v>1</v>
      </c>
      <c r="F54" s="4">
        <v>3</v>
      </c>
      <c r="H54" s="21" t="s">
        <v>39</v>
      </c>
      <c r="I54" s="21">
        <v>0</v>
      </c>
      <c r="J54"/>
    </row>
    <row r="55" spans="1:10">
      <c r="A55" s="4">
        <v>49</v>
      </c>
      <c r="B55" s="18">
        <v>0.09</v>
      </c>
      <c r="C55" s="20">
        <v>38923</v>
      </c>
      <c r="D55" s="20">
        <f t="shared" si="0"/>
        <v>3503.0699999999997</v>
      </c>
      <c r="E55" s="4">
        <v>2</v>
      </c>
      <c r="F55" s="4">
        <v>5</v>
      </c>
      <c r="I55"/>
      <c r="J55"/>
    </row>
    <row r="56" spans="1:10">
      <c r="A56" s="4">
        <v>50</v>
      </c>
      <c r="B56" s="18">
        <v>0.16</v>
      </c>
      <c r="C56" s="20">
        <v>40536</v>
      </c>
      <c r="D56" s="20">
        <f t="shared" si="0"/>
        <v>6485.76</v>
      </c>
      <c r="E56" s="4">
        <v>4</v>
      </c>
      <c r="F56" s="4">
        <v>3</v>
      </c>
      <c r="I56"/>
      <c r="J56"/>
    </row>
    <row r="57" spans="1:10">
      <c r="A57" s="4">
        <v>51</v>
      </c>
      <c r="B57" s="18">
        <v>0.22</v>
      </c>
      <c r="C57" s="20">
        <v>54851</v>
      </c>
      <c r="D57" s="20">
        <f t="shared" si="0"/>
        <v>12067.22</v>
      </c>
      <c r="E57" s="4">
        <v>6</v>
      </c>
      <c r="F57" s="4">
        <v>2</v>
      </c>
      <c r="I57"/>
      <c r="J57"/>
    </row>
    <row r="58" spans="1:10">
      <c r="A58" s="4">
        <v>52</v>
      </c>
      <c r="B58" s="18">
        <v>0.21</v>
      </c>
      <c r="C58" s="20">
        <v>54861</v>
      </c>
      <c r="D58" s="20">
        <f t="shared" si="0"/>
        <v>11520.81</v>
      </c>
      <c r="E58" s="4">
        <v>7</v>
      </c>
      <c r="F58" s="4">
        <v>2</v>
      </c>
      <c r="I58"/>
      <c r="J58"/>
    </row>
    <row r="59" spans="1:10">
      <c r="A59" s="4">
        <v>53</v>
      </c>
      <c r="B59" s="18">
        <v>0.17</v>
      </c>
      <c r="C59" s="20">
        <v>58063</v>
      </c>
      <c r="D59" s="20">
        <f t="shared" si="0"/>
        <v>9870.7100000000009</v>
      </c>
      <c r="E59" s="4">
        <v>5</v>
      </c>
      <c r="F59" s="4">
        <v>4</v>
      </c>
      <c r="I59"/>
      <c r="J59"/>
    </row>
    <row r="60" spans="1:10">
      <c r="A60" s="4">
        <v>54</v>
      </c>
      <c r="B60" s="18">
        <v>0.11</v>
      </c>
      <c r="C60" s="20">
        <v>62862</v>
      </c>
      <c r="D60" s="20">
        <f t="shared" si="0"/>
        <v>6914.82</v>
      </c>
      <c r="E60" s="4">
        <v>4</v>
      </c>
      <c r="F60" s="4">
        <v>5</v>
      </c>
    </row>
    <row r="61" spans="1:10">
      <c r="A61" s="4">
        <v>55</v>
      </c>
      <c r="B61" s="18">
        <v>7.0000000000000007E-2</v>
      </c>
      <c r="C61" s="20">
        <v>78574</v>
      </c>
      <c r="D61" s="20">
        <f t="shared" si="0"/>
        <v>5500.18</v>
      </c>
      <c r="E61" s="4">
        <v>3</v>
      </c>
      <c r="F61" s="4">
        <v>5</v>
      </c>
    </row>
    <row r="62" spans="1:10">
      <c r="A62" s="4">
        <v>56</v>
      </c>
      <c r="B62" s="18">
        <v>0.14000000000000001</v>
      </c>
      <c r="C62" s="20">
        <v>92776</v>
      </c>
      <c r="D62" s="20">
        <f t="shared" si="0"/>
        <v>12988.640000000001</v>
      </c>
      <c r="E62" s="4">
        <v>4</v>
      </c>
      <c r="F62" s="4">
        <v>3</v>
      </c>
    </row>
    <row r="63" spans="1:10">
      <c r="A63" s="4">
        <v>57</v>
      </c>
      <c r="B63" s="18">
        <v>0.15</v>
      </c>
      <c r="C63" s="20">
        <v>112837</v>
      </c>
      <c r="D63" s="20">
        <f t="shared" si="0"/>
        <v>16925.55</v>
      </c>
      <c r="E63" s="4">
        <v>1</v>
      </c>
      <c r="F63" s="4">
        <v>4</v>
      </c>
    </row>
    <row r="64" spans="1:10">
      <c r="A64" s="4">
        <v>58</v>
      </c>
      <c r="B64" s="18">
        <v>0.13</v>
      </c>
      <c r="C64" s="20">
        <v>115999</v>
      </c>
      <c r="D64" s="20">
        <f t="shared" si="0"/>
        <v>15079.87</v>
      </c>
      <c r="E64" s="4">
        <v>4</v>
      </c>
      <c r="F64" s="4">
        <v>5</v>
      </c>
    </row>
    <row r="65" spans="1:6">
      <c r="A65" s="4">
        <v>59</v>
      </c>
      <c r="B65" s="18">
        <v>0.21</v>
      </c>
      <c r="C65" s="20">
        <v>120854</v>
      </c>
      <c r="D65" s="20">
        <f t="shared" si="0"/>
        <v>25379.34</v>
      </c>
      <c r="E65" s="4">
        <v>5</v>
      </c>
      <c r="F65" s="4">
        <v>4</v>
      </c>
    </row>
    <row r="66" spans="1:6">
      <c r="A66" s="4">
        <v>60</v>
      </c>
      <c r="B66" s="18">
        <v>0.14000000000000001</v>
      </c>
      <c r="C66" s="20">
        <v>179101</v>
      </c>
      <c r="D66" s="20">
        <f t="shared" si="0"/>
        <v>25074.140000000003</v>
      </c>
      <c r="E66" s="4">
        <v>6</v>
      </c>
      <c r="F66" s="4">
        <v>3</v>
      </c>
    </row>
    <row r="67" spans="1:6">
      <c r="A67" s="4"/>
      <c r="B67" s="4"/>
      <c r="C67" s="4"/>
      <c r="D67" s="4"/>
      <c r="E67" s="4"/>
      <c r="F67" s="4"/>
    </row>
    <row r="68" spans="1:6">
      <c r="A68" t="s">
        <v>36</v>
      </c>
      <c r="B68" s="4"/>
      <c r="C68" s="4"/>
      <c r="D68" s="4"/>
      <c r="E68" s="4"/>
      <c r="F68" s="4"/>
    </row>
    <row r="69" spans="1:6">
      <c r="A69" s="4"/>
      <c r="B69" s="4"/>
      <c r="C69" s="4"/>
      <c r="D69" s="4"/>
      <c r="E69" s="4"/>
      <c r="F69" s="4"/>
    </row>
    <row r="70" spans="1:6">
      <c r="A70" s="4"/>
      <c r="B70" s="4"/>
      <c r="C70" s="24" t="s">
        <v>43</v>
      </c>
      <c r="D70" s="24" t="s">
        <v>43</v>
      </c>
      <c r="E70" s="4"/>
      <c r="F70" s="4"/>
    </row>
    <row r="71" spans="1:6">
      <c r="A71" s="4"/>
      <c r="B71" s="4"/>
      <c r="C71" s="23">
        <v>500</v>
      </c>
      <c r="D71" s="23">
        <v>500</v>
      </c>
      <c r="E71" s="4"/>
      <c r="F71" s="4"/>
    </row>
    <row r="72" spans="1:6">
      <c r="A72" s="4"/>
      <c r="B72" s="4"/>
      <c r="C72" s="23">
        <v>1000</v>
      </c>
      <c r="D72" s="23">
        <v>1000</v>
      </c>
      <c r="E72" s="4"/>
      <c r="F72" s="4"/>
    </row>
    <row r="73" spans="1:6">
      <c r="A73" s="4"/>
      <c r="B73" s="4"/>
      <c r="C73" s="23">
        <v>5000</v>
      </c>
      <c r="D73" s="23">
        <v>5000</v>
      </c>
      <c r="E73" s="4"/>
      <c r="F73" s="4"/>
    </row>
    <row r="74" spans="1:6">
      <c r="A74" s="4"/>
      <c r="B74" s="4"/>
      <c r="C74" s="23">
        <v>10000</v>
      </c>
      <c r="D74" s="23">
        <v>10000</v>
      </c>
      <c r="E74" s="4"/>
      <c r="F74" s="4"/>
    </row>
    <row r="75" spans="1:6">
      <c r="A75" s="4"/>
      <c r="B75" s="4"/>
      <c r="C75" s="23">
        <v>20000</v>
      </c>
      <c r="D75" s="23">
        <v>20000</v>
      </c>
      <c r="E75" s="4"/>
      <c r="F75" s="4"/>
    </row>
    <row r="76" spans="1:6">
      <c r="A76" s="4"/>
      <c r="B76" s="4"/>
      <c r="C76" s="23">
        <v>30000</v>
      </c>
      <c r="D76" s="23">
        <v>30000</v>
      </c>
      <c r="E76" s="4"/>
      <c r="F76" s="4"/>
    </row>
    <row r="77" spans="1:6">
      <c r="A77" s="4"/>
      <c r="B77" s="4"/>
      <c r="C77" s="23">
        <v>40000</v>
      </c>
      <c r="D77" s="23"/>
      <c r="E77" s="4"/>
      <c r="F77" s="4"/>
    </row>
    <row r="78" spans="1:6">
      <c r="A78" s="4"/>
      <c r="B78" s="4"/>
      <c r="C78" s="23">
        <v>50000</v>
      </c>
      <c r="D78" s="23"/>
      <c r="E78" s="4"/>
      <c r="F78" s="4"/>
    </row>
    <row r="79" spans="1:6">
      <c r="A79" s="4"/>
      <c r="B79" s="4"/>
      <c r="C79" s="23">
        <v>100000</v>
      </c>
      <c r="D79" s="23"/>
      <c r="E79" s="4"/>
      <c r="F79" s="4"/>
    </row>
    <row r="80" spans="1:6">
      <c r="A80" s="4"/>
      <c r="B80" s="4"/>
      <c r="C80" s="23">
        <v>200000</v>
      </c>
      <c r="D80" s="23"/>
      <c r="E80" s="4"/>
      <c r="F80" s="4"/>
    </row>
    <row r="81" spans="1:6">
      <c r="A81" s="4"/>
      <c r="B81" s="4"/>
      <c r="C81" s="4"/>
      <c r="D81" s="4"/>
      <c r="E81" s="4"/>
      <c r="F81" s="4"/>
    </row>
    <row r="82" spans="1:6">
      <c r="A82" s="4"/>
      <c r="B82" s="4"/>
      <c r="C82" s="4"/>
      <c r="D82" s="4"/>
      <c r="E82" s="4"/>
      <c r="F82" s="4"/>
    </row>
    <row r="83" spans="1:6">
      <c r="A83" s="4"/>
      <c r="B83" s="4"/>
      <c r="C83" s="4"/>
      <c r="D83" s="4"/>
      <c r="E83" s="4"/>
      <c r="F83" s="4"/>
    </row>
    <row r="84" spans="1:6">
      <c r="A84" s="4"/>
      <c r="B84" s="4"/>
      <c r="C84" s="4"/>
      <c r="D84" s="4"/>
      <c r="E84" s="4"/>
      <c r="F84" s="4"/>
    </row>
    <row r="85" spans="1:6">
      <c r="A85" s="4"/>
      <c r="B85" s="4"/>
      <c r="C85" s="4"/>
      <c r="D85" s="4"/>
      <c r="E85" s="4"/>
      <c r="F85" s="4"/>
    </row>
    <row r="86" spans="1:6">
      <c r="A86" s="4"/>
      <c r="B86" s="4"/>
      <c r="C86" s="4"/>
      <c r="D86" s="4"/>
      <c r="E86" s="4"/>
      <c r="F86" s="4"/>
    </row>
    <row r="87" spans="1:6">
      <c r="A87" s="4"/>
      <c r="B87" s="4"/>
      <c r="C87" s="4"/>
      <c r="D87" s="4"/>
      <c r="E87" s="4"/>
      <c r="F87" s="4"/>
    </row>
    <row r="88" spans="1:6">
      <c r="A88" s="4"/>
      <c r="B88" s="4"/>
      <c r="C88" s="4"/>
      <c r="D88" s="4"/>
      <c r="E88" s="4"/>
      <c r="F88" s="4"/>
    </row>
    <row r="89" spans="1:6">
      <c r="A89" s="4"/>
      <c r="B89" s="4"/>
      <c r="C89" s="4"/>
      <c r="D89" s="4"/>
      <c r="E89" s="4"/>
      <c r="F89" s="4"/>
    </row>
    <row r="90" spans="1:6">
      <c r="A90" s="4"/>
      <c r="B90" s="4"/>
      <c r="C90" s="4"/>
      <c r="D90" s="4"/>
      <c r="E90" s="4"/>
      <c r="F90" s="4"/>
    </row>
    <row r="91" spans="1:6">
      <c r="A91" s="4"/>
      <c r="B91" s="4"/>
      <c r="C91" s="4"/>
      <c r="D91" s="4"/>
      <c r="E91" s="4"/>
      <c r="F91" s="4"/>
    </row>
  </sheetData>
  <phoneticPr fontId="1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B2CE9-E174-4CDD-984A-D671FB5E8CB9}">
  <dimension ref="A3:C16"/>
  <sheetViews>
    <sheetView workbookViewId="0">
      <selection activeCell="C20" sqref="C20"/>
    </sheetView>
  </sheetViews>
  <sheetFormatPr defaultRowHeight="15"/>
  <cols>
    <col min="1" max="1" width="13.140625" bestFit="1" customWidth="1"/>
    <col min="2" max="2" width="20" bestFit="1" customWidth="1"/>
    <col min="3" max="3" width="14.85546875" bestFit="1" customWidth="1"/>
  </cols>
  <sheetData>
    <row r="3" spans="1:3">
      <c r="A3" s="30" t="s">
        <v>62</v>
      </c>
      <c r="B3" t="s">
        <v>66</v>
      </c>
      <c r="C3" t="s">
        <v>65</v>
      </c>
    </row>
    <row r="4" spans="1:3">
      <c r="A4" s="24" t="s">
        <v>28</v>
      </c>
      <c r="B4">
        <v>98</v>
      </c>
      <c r="C4">
        <v>4170.4399999999996</v>
      </c>
    </row>
    <row r="5" spans="1:3">
      <c r="A5" s="31" t="s">
        <v>61</v>
      </c>
      <c r="B5">
        <v>56</v>
      </c>
      <c r="C5">
        <v>3364.34</v>
      </c>
    </row>
    <row r="6" spans="1:3">
      <c r="A6" s="31" t="s">
        <v>57</v>
      </c>
      <c r="B6">
        <v>42</v>
      </c>
      <c r="C6">
        <v>806.1</v>
      </c>
    </row>
    <row r="7" spans="1:3">
      <c r="A7" s="24" t="s">
        <v>27</v>
      </c>
      <c r="B7">
        <v>85</v>
      </c>
      <c r="C7">
        <v>2849.2399999999984</v>
      </c>
    </row>
    <row r="8" spans="1:3">
      <c r="A8" s="31" t="s">
        <v>61</v>
      </c>
      <c r="B8">
        <v>43</v>
      </c>
      <c r="C8">
        <v>2009.2700000000002</v>
      </c>
    </row>
    <row r="9" spans="1:3">
      <c r="A9" s="31" t="s">
        <v>57</v>
      </c>
      <c r="B9">
        <v>42</v>
      </c>
      <c r="C9">
        <v>839.97</v>
      </c>
    </row>
    <row r="10" spans="1:3">
      <c r="A10" s="24" t="s">
        <v>19</v>
      </c>
      <c r="B10">
        <v>99</v>
      </c>
      <c r="C10">
        <v>4422.1099999999988</v>
      </c>
    </row>
    <row r="11" spans="1:3">
      <c r="A11" s="31" t="s">
        <v>61</v>
      </c>
      <c r="B11">
        <v>62</v>
      </c>
      <c r="C11">
        <v>3683.2599999999989</v>
      </c>
    </row>
    <row r="12" spans="1:3">
      <c r="A12" s="31" t="s">
        <v>57</v>
      </c>
      <c r="B12">
        <v>37</v>
      </c>
      <c r="C12">
        <v>738.85000000000014</v>
      </c>
    </row>
    <row r="13" spans="1:3">
      <c r="A13" s="24" t="s">
        <v>58</v>
      </c>
      <c r="B13">
        <v>190</v>
      </c>
      <c r="C13">
        <v>7412.6300000000037</v>
      </c>
    </row>
    <row r="14" spans="1:3">
      <c r="A14" s="31" t="s">
        <v>61</v>
      </c>
      <c r="B14">
        <v>100</v>
      </c>
      <c r="C14">
        <v>5615.4000000000033</v>
      </c>
    </row>
    <row r="15" spans="1:3">
      <c r="A15" s="31" t="s">
        <v>57</v>
      </c>
      <c r="B15">
        <v>90</v>
      </c>
      <c r="C15">
        <v>1797.2299999999998</v>
      </c>
    </row>
    <row r="16" spans="1:3">
      <c r="A16" s="24" t="s">
        <v>63</v>
      </c>
      <c r="B16">
        <v>472</v>
      </c>
      <c r="C16">
        <v>18854.419999999995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8B541-9FDD-433A-A70F-E640762C536A}">
  <dimension ref="A1:L517"/>
  <sheetViews>
    <sheetView topLeftCell="C36" zoomScale="83" zoomScaleNormal="100" workbookViewId="0">
      <selection activeCell="M2" sqref="M2"/>
    </sheetView>
  </sheetViews>
  <sheetFormatPr defaultRowHeight="15"/>
  <cols>
    <col min="3" max="3" width="11.85546875" customWidth="1"/>
    <col min="4" max="4" width="17" style="24" bestFit="1" customWidth="1"/>
    <col min="6" max="6" width="10.7109375" bestFit="1" customWidth="1"/>
    <col min="8" max="8" width="12" style="25" customWidth="1"/>
    <col min="10" max="10" width="11.5703125" customWidth="1"/>
    <col min="11" max="11" width="20.42578125" customWidth="1"/>
    <col min="12" max="12" width="16.85546875" customWidth="1"/>
  </cols>
  <sheetData>
    <row r="1" spans="1:12">
      <c r="A1" s="5" t="s">
        <v>0</v>
      </c>
    </row>
    <row r="2" spans="1:12">
      <c r="A2" s="5" t="s">
        <v>64</v>
      </c>
    </row>
    <row r="4" spans="1:12">
      <c r="A4" s="2" t="s">
        <v>46</v>
      </c>
    </row>
    <row r="6" spans="1:12" ht="15.75" thickBot="1">
      <c r="A6" s="3" t="s">
        <v>47</v>
      </c>
      <c r="B6" s="3" t="s">
        <v>48</v>
      </c>
      <c r="C6" s="3" t="s">
        <v>49</v>
      </c>
      <c r="D6" s="26" t="s">
        <v>50</v>
      </c>
      <c r="E6" s="3" t="s">
        <v>51</v>
      </c>
      <c r="F6" s="3" t="s">
        <v>52</v>
      </c>
      <c r="G6" s="3" t="s">
        <v>53</v>
      </c>
      <c r="H6" s="27" t="s">
        <v>54</v>
      </c>
      <c r="J6" s="30" t="s">
        <v>62</v>
      </c>
      <c r="K6" s="30" t="s">
        <v>66</v>
      </c>
      <c r="L6" t="s">
        <v>65</v>
      </c>
    </row>
    <row r="7" spans="1:12" ht="15.75" thickTop="1">
      <c r="A7">
        <v>10001</v>
      </c>
      <c r="B7" t="s">
        <v>28</v>
      </c>
      <c r="C7" t="s">
        <v>55</v>
      </c>
      <c r="D7" s="24">
        <v>93816545</v>
      </c>
      <c r="E7" t="s">
        <v>56</v>
      </c>
      <c r="F7" s="28">
        <v>20.190000000000001</v>
      </c>
      <c r="G7" t="s">
        <v>57</v>
      </c>
      <c r="H7" s="25">
        <v>0.92986111111111114</v>
      </c>
      <c r="J7" s="24" t="s">
        <v>28</v>
      </c>
      <c r="K7">
        <v>98</v>
      </c>
      <c r="L7">
        <v>4170.4399999999996</v>
      </c>
    </row>
    <row r="8" spans="1:12">
      <c r="A8">
        <v>10002</v>
      </c>
      <c r="B8" t="s">
        <v>58</v>
      </c>
      <c r="C8" t="s">
        <v>59</v>
      </c>
      <c r="D8" s="24">
        <v>74083490</v>
      </c>
      <c r="E8" t="s">
        <v>56</v>
      </c>
      <c r="F8" s="28">
        <v>17.850000000000001</v>
      </c>
      <c r="G8" t="s">
        <v>57</v>
      </c>
      <c r="H8" s="25">
        <v>0.56041666666666667</v>
      </c>
      <c r="J8" s="31" t="s">
        <v>61</v>
      </c>
      <c r="K8">
        <v>56</v>
      </c>
      <c r="L8">
        <v>3364.34</v>
      </c>
    </row>
    <row r="9" spans="1:12">
      <c r="A9">
        <v>10003</v>
      </c>
      <c r="B9" t="s">
        <v>27</v>
      </c>
      <c r="C9" t="s">
        <v>59</v>
      </c>
      <c r="D9" s="24">
        <v>64942368</v>
      </c>
      <c r="E9" t="s">
        <v>56</v>
      </c>
      <c r="F9" s="28">
        <v>23.98</v>
      </c>
      <c r="G9" t="s">
        <v>57</v>
      </c>
      <c r="H9" s="25">
        <v>0.6020833333333333</v>
      </c>
      <c r="J9" s="31" t="s">
        <v>57</v>
      </c>
      <c r="K9">
        <v>42</v>
      </c>
      <c r="L9">
        <v>806.1</v>
      </c>
    </row>
    <row r="10" spans="1:12">
      <c r="A10">
        <v>10004</v>
      </c>
      <c r="B10" t="s">
        <v>58</v>
      </c>
      <c r="C10" t="s">
        <v>55</v>
      </c>
      <c r="D10" s="24">
        <v>70560957</v>
      </c>
      <c r="E10" t="s">
        <v>60</v>
      </c>
      <c r="F10" s="28">
        <v>23.51</v>
      </c>
      <c r="G10" t="s">
        <v>61</v>
      </c>
      <c r="H10" s="25">
        <v>0.65138888888888891</v>
      </c>
      <c r="J10" s="24" t="s">
        <v>27</v>
      </c>
      <c r="K10">
        <v>85</v>
      </c>
      <c r="L10">
        <v>2849.2399999999984</v>
      </c>
    </row>
    <row r="11" spans="1:12">
      <c r="A11">
        <v>10005</v>
      </c>
      <c r="B11" t="s">
        <v>19</v>
      </c>
      <c r="C11" t="s">
        <v>59</v>
      </c>
      <c r="D11" s="24">
        <v>35208817</v>
      </c>
      <c r="E11" t="s">
        <v>56</v>
      </c>
      <c r="F11" s="28">
        <v>15.33</v>
      </c>
      <c r="G11" t="s">
        <v>61</v>
      </c>
      <c r="H11" s="25">
        <v>0.63958333333333328</v>
      </c>
      <c r="J11" s="31" t="s">
        <v>61</v>
      </c>
      <c r="K11">
        <v>43</v>
      </c>
      <c r="L11">
        <v>2009.2700000000002</v>
      </c>
    </row>
    <row r="12" spans="1:12">
      <c r="A12">
        <v>10006</v>
      </c>
      <c r="B12" t="s">
        <v>58</v>
      </c>
      <c r="C12" t="s">
        <v>55</v>
      </c>
      <c r="D12" s="24">
        <v>20978903</v>
      </c>
      <c r="E12" t="s">
        <v>60</v>
      </c>
      <c r="F12" s="28">
        <v>17.3</v>
      </c>
      <c r="G12" t="s">
        <v>57</v>
      </c>
      <c r="H12" s="25">
        <v>0.5493055555555556</v>
      </c>
      <c r="J12" s="31" t="s">
        <v>57</v>
      </c>
      <c r="K12">
        <v>42</v>
      </c>
      <c r="L12">
        <v>839.97</v>
      </c>
    </row>
    <row r="13" spans="1:12">
      <c r="A13">
        <v>10007</v>
      </c>
      <c r="B13" t="s">
        <v>28</v>
      </c>
      <c r="C13" t="s">
        <v>59</v>
      </c>
      <c r="D13" s="24">
        <v>80103311</v>
      </c>
      <c r="E13" t="s">
        <v>56</v>
      </c>
      <c r="F13" s="28">
        <v>177.72</v>
      </c>
      <c r="G13" t="s">
        <v>61</v>
      </c>
      <c r="H13" s="25">
        <v>0.9159722222222223</v>
      </c>
      <c r="J13" s="24" t="s">
        <v>19</v>
      </c>
      <c r="K13">
        <v>99</v>
      </c>
      <c r="L13">
        <v>4422.1099999999988</v>
      </c>
    </row>
    <row r="14" spans="1:12">
      <c r="A14">
        <v>10008</v>
      </c>
      <c r="B14" t="s">
        <v>58</v>
      </c>
      <c r="C14" t="s">
        <v>59</v>
      </c>
      <c r="D14" s="24">
        <v>14132683</v>
      </c>
      <c r="E14" t="s">
        <v>56</v>
      </c>
      <c r="F14" s="28">
        <v>21.76</v>
      </c>
      <c r="G14" t="s">
        <v>61</v>
      </c>
      <c r="H14" s="25">
        <v>0.16944444444444443</v>
      </c>
      <c r="J14" s="31" t="s">
        <v>61</v>
      </c>
      <c r="K14">
        <v>62</v>
      </c>
      <c r="L14">
        <v>3683.2599999999989</v>
      </c>
    </row>
    <row r="15" spans="1:12">
      <c r="A15">
        <v>10009</v>
      </c>
      <c r="B15" t="s">
        <v>58</v>
      </c>
      <c r="C15" t="s">
        <v>55</v>
      </c>
      <c r="D15" s="24">
        <v>40128225</v>
      </c>
      <c r="E15" t="s">
        <v>56</v>
      </c>
      <c r="F15" s="28">
        <v>15.92</v>
      </c>
      <c r="G15" t="s">
        <v>57</v>
      </c>
      <c r="H15" s="25">
        <v>0.81597222222222221</v>
      </c>
      <c r="J15" s="31" t="s">
        <v>57</v>
      </c>
      <c r="K15">
        <v>37</v>
      </c>
      <c r="L15">
        <v>738.85000000000014</v>
      </c>
    </row>
    <row r="16" spans="1:12">
      <c r="A16">
        <v>10010</v>
      </c>
      <c r="B16" t="s">
        <v>19</v>
      </c>
      <c r="C16" t="s">
        <v>55</v>
      </c>
      <c r="D16" s="24">
        <v>49073721</v>
      </c>
      <c r="E16" t="s">
        <v>56</v>
      </c>
      <c r="F16" s="28">
        <v>23.39</v>
      </c>
      <c r="G16" t="s">
        <v>57</v>
      </c>
      <c r="H16" s="25">
        <v>0.55972222222222223</v>
      </c>
      <c r="J16" s="24" t="s">
        <v>58</v>
      </c>
      <c r="K16">
        <v>190</v>
      </c>
      <c r="L16">
        <v>7412.6300000000037</v>
      </c>
    </row>
    <row r="17" spans="1:12">
      <c r="A17">
        <v>10011</v>
      </c>
      <c r="B17" t="s">
        <v>19</v>
      </c>
      <c r="C17" t="s">
        <v>55</v>
      </c>
      <c r="D17" s="24">
        <v>57398827</v>
      </c>
      <c r="E17" t="s">
        <v>60</v>
      </c>
      <c r="F17" s="28">
        <v>24.45</v>
      </c>
      <c r="G17" t="s">
        <v>61</v>
      </c>
      <c r="H17" s="25">
        <v>0.59513888888888888</v>
      </c>
      <c r="J17" s="31" t="s">
        <v>61</v>
      </c>
      <c r="K17">
        <v>100</v>
      </c>
      <c r="L17">
        <v>5615.4000000000033</v>
      </c>
    </row>
    <row r="18" spans="1:12">
      <c r="A18">
        <v>10012</v>
      </c>
      <c r="B18" t="s">
        <v>28</v>
      </c>
      <c r="C18" t="s">
        <v>59</v>
      </c>
      <c r="D18" s="24">
        <v>34400661</v>
      </c>
      <c r="E18" t="s">
        <v>56</v>
      </c>
      <c r="F18" s="28">
        <v>20.39</v>
      </c>
      <c r="G18" t="s">
        <v>61</v>
      </c>
      <c r="H18" s="25">
        <v>4.2361111111111106E-2</v>
      </c>
      <c r="J18" s="31" t="s">
        <v>57</v>
      </c>
      <c r="K18">
        <v>90</v>
      </c>
      <c r="L18">
        <v>1797.2299999999998</v>
      </c>
    </row>
    <row r="19" spans="1:12">
      <c r="A19">
        <v>10013</v>
      </c>
      <c r="B19" t="s">
        <v>27</v>
      </c>
      <c r="C19" t="s">
        <v>55</v>
      </c>
      <c r="D19" s="24">
        <v>54242587</v>
      </c>
      <c r="E19" t="s">
        <v>56</v>
      </c>
      <c r="F19" s="28">
        <v>19.54</v>
      </c>
      <c r="G19" t="s">
        <v>57</v>
      </c>
      <c r="H19" s="25">
        <v>0.41944444444444445</v>
      </c>
      <c r="J19" s="24" t="s">
        <v>63</v>
      </c>
      <c r="K19">
        <v>472</v>
      </c>
      <c r="L19">
        <v>18854.419999999995</v>
      </c>
    </row>
    <row r="20" spans="1:12">
      <c r="A20">
        <v>10014</v>
      </c>
      <c r="B20" t="s">
        <v>28</v>
      </c>
      <c r="C20" t="s">
        <v>59</v>
      </c>
      <c r="D20" s="24">
        <v>62597750</v>
      </c>
      <c r="E20" t="s">
        <v>56</v>
      </c>
      <c r="F20" s="28">
        <v>151.66999999999999</v>
      </c>
      <c r="G20" t="s">
        <v>61</v>
      </c>
      <c r="H20" s="25">
        <v>0.38124999999999998</v>
      </c>
    </row>
    <row r="21" spans="1:12">
      <c r="A21">
        <v>10015</v>
      </c>
      <c r="B21" t="s">
        <v>58</v>
      </c>
      <c r="C21" t="s">
        <v>59</v>
      </c>
      <c r="D21" s="24">
        <v>51555882</v>
      </c>
      <c r="E21" t="s">
        <v>56</v>
      </c>
      <c r="F21" s="28">
        <v>21.01</v>
      </c>
      <c r="G21" t="s">
        <v>57</v>
      </c>
      <c r="H21" s="25">
        <v>0.21180555555555555</v>
      </c>
    </row>
    <row r="22" spans="1:12">
      <c r="A22">
        <v>10016</v>
      </c>
      <c r="B22" t="s">
        <v>58</v>
      </c>
      <c r="C22" t="s">
        <v>55</v>
      </c>
      <c r="D22" s="24">
        <v>54332964</v>
      </c>
      <c r="E22" t="s">
        <v>56</v>
      </c>
      <c r="F22" s="28">
        <v>22.91</v>
      </c>
      <c r="G22" t="s">
        <v>57</v>
      </c>
      <c r="H22" s="25">
        <v>0.8534722222222223</v>
      </c>
    </row>
    <row r="23" spans="1:12">
      <c r="A23">
        <v>10017</v>
      </c>
      <c r="B23" t="s">
        <v>58</v>
      </c>
      <c r="C23" t="s">
        <v>59</v>
      </c>
      <c r="D23" s="24">
        <v>26623353</v>
      </c>
      <c r="E23" t="s">
        <v>60</v>
      </c>
      <c r="F23" s="28">
        <v>19.510000000000002</v>
      </c>
      <c r="G23" t="s">
        <v>61</v>
      </c>
      <c r="H23" s="25">
        <v>0.62708333333333333</v>
      </c>
    </row>
    <row r="24" spans="1:12">
      <c r="A24">
        <v>10018</v>
      </c>
      <c r="B24" t="s">
        <v>58</v>
      </c>
      <c r="C24" t="s">
        <v>55</v>
      </c>
      <c r="D24" s="24">
        <v>78594431</v>
      </c>
      <c r="E24" t="s">
        <v>56</v>
      </c>
      <c r="F24" s="28">
        <v>20.16</v>
      </c>
      <c r="G24" t="s">
        <v>61</v>
      </c>
      <c r="H24" s="25">
        <v>0.78749999999999998</v>
      </c>
    </row>
    <row r="25" spans="1:12">
      <c r="A25">
        <v>10019</v>
      </c>
      <c r="B25" t="s">
        <v>58</v>
      </c>
      <c r="C25" t="s">
        <v>59</v>
      </c>
      <c r="D25" s="24">
        <v>89385348</v>
      </c>
      <c r="E25" t="s">
        <v>56</v>
      </c>
      <c r="F25" s="28">
        <v>17.53</v>
      </c>
      <c r="G25" t="s">
        <v>57</v>
      </c>
      <c r="H25" s="25">
        <v>0.83333333333333337</v>
      </c>
    </row>
    <row r="26" spans="1:12">
      <c r="A26">
        <v>10020</v>
      </c>
      <c r="B26" t="s">
        <v>58</v>
      </c>
      <c r="C26" t="s">
        <v>59</v>
      </c>
      <c r="D26" s="24">
        <v>69868417</v>
      </c>
      <c r="E26" t="s">
        <v>56</v>
      </c>
      <c r="F26" s="28">
        <v>17.739999999999998</v>
      </c>
      <c r="G26" t="s">
        <v>57</v>
      </c>
      <c r="H26" s="25">
        <v>0.52569444444444446</v>
      </c>
    </row>
    <row r="27" spans="1:12">
      <c r="A27">
        <v>10021</v>
      </c>
      <c r="B27" t="s">
        <v>27</v>
      </c>
      <c r="C27" t="s">
        <v>55</v>
      </c>
      <c r="D27" s="24">
        <v>59660276</v>
      </c>
      <c r="E27" t="s">
        <v>60</v>
      </c>
      <c r="F27" s="28">
        <v>17.16</v>
      </c>
      <c r="G27" t="s">
        <v>61</v>
      </c>
      <c r="H27" s="25">
        <v>0.21180555555555555</v>
      </c>
    </row>
    <row r="28" spans="1:12">
      <c r="A28">
        <v>10022</v>
      </c>
      <c r="B28" t="s">
        <v>58</v>
      </c>
      <c r="C28" t="s">
        <v>59</v>
      </c>
      <c r="D28" s="24">
        <v>25456590</v>
      </c>
      <c r="E28" t="s">
        <v>56</v>
      </c>
      <c r="F28" s="28">
        <v>205.58</v>
      </c>
      <c r="G28" t="s">
        <v>61</v>
      </c>
      <c r="H28" s="25">
        <v>0.86250000000000004</v>
      </c>
    </row>
    <row r="29" spans="1:12">
      <c r="A29">
        <v>10023</v>
      </c>
      <c r="B29" t="s">
        <v>19</v>
      </c>
      <c r="C29" t="s">
        <v>59</v>
      </c>
      <c r="D29" s="24">
        <v>93283893</v>
      </c>
      <c r="E29" t="s">
        <v>60</v>
      </c>
      <c r="F29" s="28">
        <v>18.12</v>
      </c>
      <c r="G29" t="s">
        <v>61</v>
      </c>
      <c r="H29" s="25">
        <v>0.42499999999999999</v>
      </c>
    </row>
    <row r="30" spans="1:12">
      <c r="A30">
        <v>10024</v>
      </c>
      <c r="B30" t="s">
        <v>58</v>
      </c>
      <c r="C30" t="s">
        <v>59</v>
      </c>
      <c r="D30" s="24">
        <v>45991123</v>
      </c>
      <c r="E30" t="s">
        <v>56</v>
      </c>
      <c r="F30" s="28">
        <v>20.04</v>
      </c>
      <c r="G30" t="s">
        <v>57</v>
      </c>
      <c r="H30" s="25">
        <v>0.68541666666666667</v>
      </c>
    </row>
    <row r="31" spans="1:12">
      <c r="A31">
        <v>10025</v>
      </c>
      <c r="B31" t="s">
        <v>58</v>
      </c>
      <c r="C31" t="s">
        <v>55</v>
      </c>
      <c r="D31" s="24">
        <v>79121745</v>
      </c>
      <c r="E31" t="s">
        <v>60</v>
      </c>
      <c r="F31" s="28">
        <v>23.21</v>
      </c>
      <c r="G31" t="s">
        <v>57</v>
      </c>
      <c r="H31" s="25">
        <v>0.84861111111111109</v>
      </c>
    </row>
    <row r="32" spans="1:12">
      <c r="A32">
        <v>10026</v>
      </c>
      <c r="B32" t="s">
        <v>58</v>
      </c>
      <c r="C32" t="s">
        <v>59</v>
      </c>
      <c r="D32" s="24">
        <v>80685117</v>
      </c>
      <c r="E32" t="s">
        <v>60</v>
      </c>
      <c r="F32" s="28">
        <v>22.79</v>
      </c>
      <c r="G32" t="s">
        <v>57</v>
      </c>
      <c r="H32" s="25">
        <v>0.83194444444444438</v>
      </c>
    </row>
    <row r="33" spans="1:8">
      <c r="A33">
        <v>10027</v>
      </c>
      <c r="B33" t="s">
        <v>58</v>
      </c>
      <c r="C33" t="s">
        <v>59</v>
      </c>
      <c r="D33" s="24">
        <v>56686474</v>
      </c>
      <c r="E33" t="s">
        <v>56</v>
      </c>
      <c r="F33" s="28">
        <v>16.91</v>
      </c>
      <c r="G33" t="s">
        <v>57</v>
      </c>
      <c r="H33" s="25">
        <v>0.8222222222222223</v>
      </c>
    </row>
    <row r="34" spans="1:8">
      <c r="A34">
        <v>10028</v>
      </c>
      <c r="B34" t="s">
        <v>19</v>
      </c>
      <c r="C34" t="s">
        <v>59</v>
      </c>
      <c r="D34" s="24">
        <v>25270813</v>
      </c>
      <c r="E34" t="s">
        <v>56</v>
      </c>
      <c r="F34" s="28">
        <v>20.22</v>
      </c>
      <c r="G34" t="s">
        <v>61</v>
      </c>
      <c r="H34" s="25">
        <v>0.81111111111111101</v>
      </c>
    </row>
    <row r="35" spans="1:8">
      <c r="A35">
        <v>10029</v>
      </c>
      <c r="B35" t="s">
        <v>28</v>
      </c>
      <c r="C35" t="s">
        <v>55</v>
      </c>
      <c r="D35" s="24">
        <v>59736137</v>
      </c>
      <c r="E35" t="s">
        <v>56</v>
      </c>
      <c r="F35" s="28">
        <v>18.36</v>
      </c>
      <c r="G35" t="s">
        <v>57</v>
      </c>
      <c r="H35" s="25">
        <v>0.65833333333333333</v>
      </c>
    </row>
    <row r="36" spans="1:8">
      <c r="A36">
        <v>10030</v>
      </c>
      <c r="B36" t="s">
        <v>58</v>
      </c>
      <c r="C36" t="s">
        <v>55</v>
      </c>
      <c r="D36" s="24">
        <v>79615191</v>
      </c>
      <c r="E36" t="s">
        <v>60</v>
      </c>
      <c r="F36" s="28">
        <v>206.8</v>
      </c>
      <c r="G36" t="s">
        <v>61</v>
      </c>
      <c r="H36" s="25">
        <v>0.7597222222222223</v>
      </c>
    </row>
    <row r="37" spans="1:8">
      <c r="A37">
        <v>10031</v>
      </c>
      <c r="B37" t="s">
        <v>27</v>
      </c>
      <c r="C37" t="s">
        <v>55</v>
      </c>
      <c r="D37" s="24">
        <v>55365094</v>
      </c>
      <c r="E37" t="s">
        <v>60</v>
      </c>
      <c r="F37" s="28">
        <v>17.95</v>
      </c>
      <c r="G37" t="s">
        <v>57</v>
      </c>
      <c r="H37" s="25">
        <v>0.63541666666666663</v>
      </c>
    </row>
    <row r="38" spans="1:8">
      <c r="A38">
        <v>10032</v>
      </c>
      <c r="B38" t="s">
        <v>28</v>
      </c>
      <c r="C38" t="s">
        <v>59</v>
      </c>
      <c r="D38" s="24">
        <v>79118930</v>
      </c>
      <c r="E38" t="s">
        <v>56</v>
      </c>
      <c r="F38" s="28">
        <v>18.29</v>
      </c>
      <c r="G38" t="s">
        <v>61</v>
      </c>
      <c r="H38" s="25">
        <v>0.54097222222222219</v>
      </c>
    </row>
    <row r="39" spans="1:8">
      <c r="A39">
        <v>10033</v>
      </c>
      <c r="B39" t="s">
        <v>19</v>
      </c>
      <c r="C39" t="s">
        <v>55</v>
      </c>
      <c r="D39" s="24">
        <v>84470584</v>
      </c>
      <c r="E39" t="s">
        <v>56</v>
      </c>
      <c r="F39" s="28">
        <v>18.55</v>
      </c>
      <c r="G39" t="s">
        <v>61</v>
      </c>
      <c r="H39" s="25">
        <v>0.73472222222222217</v>
      </c>
    </row>
    <row r="40" spans="1:8">
      <c r="A40">
        <v>10034</v>
      </c>
      <c r="B40" t="s">
        <v>58</v>
      </c>
      <c r="C40" t="s">
        <v>59</v>
      </c>
      <c r="D40" s="24">
        <v>71097636</v>
      </c>
      <c r="E40" t="s">
        <v>56</v>
      </c>
      <c r="F40" s="28">
        <v>18.82</v>
      </c>
      <c r="G40" t="s">
        <v>61</v>
      </c>
      <c r="H40" s="25">
        <v>8.4722222222222213E-2</v>
      </c>
    </row>
    <row r="41" spans="1:8">
      <c r="A41">
        <v>10035</v>
      </c>
      <c r="B41" t="s">
        <v>58</v>
      </c>
      <c r="C41" t="s">
        <v>59</v>
      </c>
      <c r="D41" s="24">
        <v>73290219</v>
      </c>
      <c r="E41" t="s">
        <v>56</v>
      </c>
      <c r="F41" s="28">
        <v>16.350000000000001</v>
      </c>
      <c r="G41" t="s">
        <v>61</v>
      </c>
      <c r="H41" s="25">
        <v>0.58680555555555558</v>
      </c>
    </row>
    <row r="42" spans="1:8">
      <c r="A42">
        <v>10036</v>
      </c>
      <c r="B42" t="s">
        <v>28</v>
      </c>
      <c r="C42" t="s">
        <v>59</v>
      </c>
      <c r="D42" s="24">
        <v>92093991</v>
      </c>
      <c r="E42" t="s">
        <v>56</v>
      </c>
      <c r="F42" s="28">
        <v>16.3</v>
      </c>
      <c r="G42" t="s">
        <v>57</v>
      </c>
      <c r="H42" s="25">
        <v>0.16944444444444443</v>
      </c>
    </row>
    <row r="43" spans="1:8">
      <c r="A43">
        <v>10037</v>
      </c>
      <c r="B43" t="s">
        <v>19</v>
      </c>
      <c r="C43" t="s">
        <v>55</v>
      </c>
      <c r="D43" s="24">
        <v>11165609</v>
      </c>
      <c r="E43" t="s">
        <v>56</v>
      </c>
      <c r="F43" s="29">
        <v>217</v>
      </c>
      <c r="G43" t="s">
        <v>61</v>
      </c>
      <c r="H43" s="25">
        <v>0</v>
      </c>
    </row>
    <row r="44" spans="1:8">
      <c r="A44">
        <v>10038</v>
      </c>
      <c r="B44" t="s">
        <v>28</v>
      </c>
      <c r="C44" t="s">
        <v>59</v>
      </c>
      <c r="D44" s="24">
        <v>79944825</v>
      </c>
      <c r="E44" t="s">
        <v>56</v>
      </c>
      <c r="F44" s="28">
        <v>16.149999999999999</v>
      </c>
      <c r="G44" t="s">
        <v>57</v>
      </c>
      <c r="H44" s="25">
        <v>0.43611111111111112</v>
      </c>
    </row>
    <row r="45" spans="1:8">
      <c r="A45">
        <v>10039</v>
      </c>
      <c r="B45" t="s">
        <v>27</v>
      </c>
      <c r="C45" t="s">
        <v>59</v>
      </c>
      <c r="D45" s="24">
        <v>59537977</v>
      </c>
      <c r="E45" t="s">
        <v>56</v>
      </c>
      <c r="F45" s="28">
        <v>18.78</v>
      </c>
      <c r="G45" t="s">
        <v>57</v>
      </c>
      <c r="H45" s="25">
        <v>0.21180555555555555</v>
      </c>
    </row>
    <row r="46" spans="1:8">
      <c r="A46">
        <v>10040</v>
      </c>
      <c r="B46" t="s">
        <v>19</v>
      </c>
      <c r="C46" t="s">
        <v>59</v>
      </c>
      <c r="D46" s="24">
        <v>37870882</v>
      </c>
      <c r="E46" t="s">
        <v>56</v>
      </c>
      <c r="F46" s="28">
        <v>150.99</v>
      </c>
      <c r="G46" t="s">
        <v>61</v>
      </c>
      <c r="H46" s="25">
        <v>0.29652777777777778</v>
      </c>
    </row>
    <row r="47" spans="1:8">
      <c r="A47">
        <v>10041</v>
      </c>
      <c r="B47" t="s">
        <v>58</v>
      </c>
      <c r="C47" t="s">
        <v>59</v>
      </c>
      <c r="D47" s="24">
        <v>59747081</v>
      </c>
      <c r="E47" t="s">
        <v>56</v>
      </c>
      <c r="F47" s="28">
        <v>21.39</v>
      </c>
      <c r="G47" t="s">
        <v>57</v>
      </c>
      <c r="H47" s="25">
        <v>0.80555555555555547</v>
      </c>
    </row>
    <row r="48" spans="1:8">
      <c r="A48">
        <v>10042</v>
      </c>
      <c r="B48" t="s">
        <v>58</v>
      </c>
      <c r="C48" t="s">
        <v>59</v>
      </c>
      <c r="D48" s="24">
        <v>33511221</v>
      </c>
      <c r="E48" t="s">
        <v>56</v>
      </c>
      <c r="F48" s="28">
        <v>16.600000000000001</v>
      </c>
      <c r="G48" t="s">
        <v>57</v>
      </c>
      <c r="H48" s="25">
        <v>0.68263888888888891</v>
      </c>
    </row>
    <row r="49" spans="1:8">
      <c r="A49">
        <v>10043</v>
      </c>
      <c r="B49" t="s">
        <v>19</v>
      </c>
      <c r="C49" t="s">
        <v>55</v>
      </c>
      <c r="D49" s="24">
        <v>69676186</v>
      </c>
      <c r="E49" t="s">
        <v>56</v>
      </c>
      <c r="F49" s="28">
        <v>23.81</v>
      </c>
      <c r="G49" t="s">
        <v>61</v>
      </c>
      <c r="H49" s="25">
        <v>0.29652777777777778</v>
      </c>
    </row>
    <row r="50" spans="1:8">
      <c r="A50">
        <v>10044</v>
      </c>
      <c r="B50" t="s">
        <v>19</v>
      </c>
      <c r="C50" t="s">
        <v>59</v>
      </c>
      <c r="D50" s="24">
        <v>72150231</v>
      </c>
      <c r="E50" t="s">
        <v>56</v>
      </c>
      <c r="F50" s="28">
        <v>15.87</v>
      </c>
      <c r="G50" t="s">
        <v>61</v>
      </c>
      <c r="H50" s="25">
        <v>0.57361111111111118</v>
      </c>
    </row>
    <row r="51" spans="1:8">
      <c r="A51">
        <v>10045</v>
      </c>
      <c r="B51" t="s">
        <v>58</v>
      </c>
      <c r="C51" t="s">
        <v>59</v>
      </c>
      <c r="D51" s="24">
        <v>64874923</v>
      </c>
      <c r="E51" t="s">
        <v>56</v>
      </c>
      <c r="F51" s="28">
        <v>20.82</v>
      </c>
      <c r="G51" t="s">
        <v>57</v>
      </c>
      <c r="H51" s="25">
        <v>0.38124999999999998</v>
      </c>
    </row>
    <row r="52" spans="1:8">
      <c r="A52">
        <v>10046</v>
      </c>
      <c r="B52" t="s">
        <v>19</v>
      </c>
      <c r="C52" t="s">
        <v>59</v>
      </c>
      <c r="D52" s="24">
        <v>79755506</v>
      </c>
      <c r="E52" t="s">
        <v>56</v>
      </c>
      <c r="F52" s="28">
        <v>21.15</v>
      </c>
      <c r="G52" t="s">
        <v>61</v>
      </c>
      <c r="H52" s="25">
        <v>0.25416666666666665</v>
      </c>
    </row>
    <row r="53" spans="1:8">
      <c r="A53">
        <v>10047</v>
      </c>
      <c r="B53" t="s">
        <v>19</v>
      </c>
      <c r="C53" t="s">
        <v>55</v>
      </c>
      <c r="D53" s="24">
        <v>43322747</v>
      </c>
      <c r="E53" t="s">
        <v>56</v>
      </c>
      <c r="F53" s="28">
        <v>19.66</v>
      </c>
      <c r="G53" t="s">
        <v>57</v>
      </c>
      <c r="H53" s="25">
        <v>0.78472222222222221</v>
      </c>
    </row>
    <row r="54" spans="1:8">
      <c r="A54">
        <v>10048</v>
      </c>
      <c r="B54" t="s">
        <v>58</v>
      </c>
      <c r="C54" t="s">
        <v>55</v>
      </c>
      <c r="D54" s="24">
        <v>57979095</v>
      </c>
      <c r="E54" t="s">
        <v>60</v>
      </c>
      <c r="F54" s="28">
        <v>21.02</v>
      </c>
      <c r="G54" t="s">
        <v>57</v>
      </c>
      <c r="H54" s="25">
        <v>0.12708333333333333</v>
      </c>
    </row>
    <row r="55" spans="1:8">
      <c r="A55">
        <v>10049</v>
      </c>
      <c r="B55" t="s">
        <v>58</v>
      </c>
      <c r="C55" t="s">
        <v>59</v>
      </c>
      <c r="D55" s="24">
        <v>96485037</v>
      </c>
      <c r="E55" t="s">
        <v>56</v>
      </c>
      <c r="F55" s="28">
        <v>23.13</v>
      </c>
      <c r="G55" t="s">
        <v>57</v>
      </c>
      <c r="H55" s="25">
        <v>0.25416666666666665</v>
      </c>
    </row>
    <row r="56" spans="1:8">
      <c r="A56">
        <v>10050</v>
      </c>
      <c r="B56" t="s">
        <v>58</v>
      </c>
      <c r="C56" t="s">
        <v>55</v>
      </c>
      <c r="D56" s="24">
        <v>85636284</v>
      </c>
      <c r="E56" t="s">
        <v>56</v>
      </c>
      <c r="F56" s="28">
        <v>15.17</v>
      </c>
      <c r="G56" t="s">
        <v>57</v>
      </c>
      <c r="H56" s="25">
        <v>0.78680555555555554</v>
      </c>
    </row>
    <row r="57" spans="1:8">
      <c r="A57">
        <v>10051</v>
      </c>
      <c r="B57" t="s">
        <v>28</v>
      </c>
      <c r="C57" t="s">
        <v>55</v>
      </c>
      <c r="D57" s="24">
        <v>42519148</v>
      </c>
      <c r="E57" t="s">
        <v>56</v>
      </c>
      <c r="F57" s="28">
        <v>209.51</v>
      </c>
      <c r="G57" t="s">
        <v>61</v>
      </c>
      <c r="H57" s="25">
        <v>0.38124999999999998</v>
      </c>
    </row>
    <row r="58" spans="1:8">
      <c r="A58">
        <v>10052</v>
      </c>
      <c r="B58" t="s">
        <v>58</v>
      </c>
      <c r="C58" t="s">
        <v>59</v>
      </c>
      <c r="D58" s="24">
        <v>59845178</v>
      </c>
      <c r="E58" t="s">
        <v>56</v>
      </c>
      <c r="F58" s="28">
        <v>16.03</v>
      </c>
      <c r="G58" t="s">
        <v>61</v>
      </c>
      <c r="H58" s="25">
        <v>0.72777777777777775</v>
      </c>
    </row>
    <row r="59" spans="1:8">
      <c r="A59">
        <v>10053</v>
      </c>
      <c r="B59" t="s">
        <v>27</v>
      </c>
      <c r="C59" t="s">
        <v>59</v>
      </c>
      <c r="D59" s="24">
        <v>47961093</v>
      </c>
      <c r="E59" t="s">
        <v>60</v>
      </c>
      <c r="F59" s="28">
        <v>16.170000000000002</v>
      </c>
      <c r="G59" t="s">
        <v>57</v>
      </c>
      <c r="H59" s="25">
        <v>0.5541666666666667</v>
      </c>
    </row>
    <row r="60" spans="1:8">
      <c r="A60">
        <v>10054</v>
      </c>
      <c r="B60" t="s">
        <v>28</v>
      </c>
      <c r="C60" t="s">
        <v>59</v>
      </c>
      <c r="D60" s="24">
        <v>32857450</v>
      </c>
      <c r="E60" t="s">
        <v>56</v>
      </c>
      <c r="F60" s="28">
        <v>18.37</v>
      </c>
      <c r="G60" t="s">
        <v>57</v>
      </c>
      <c r="H60" s="25">
        <v>0.33888888888888885</v>
      </c>
    </row>
    <row r="61" spans="1:8">
      <c r="A61">
        <v>10055</v>
      </c>
      <c r="B61" t="s">
        <v>28</v>
      </c>
      <c r="C61" t="s">
        <v>59</v>
      </c>
      <c r="D61" s="24">
        <v>23437096</v>
      </c>
      <c r="E61" t="s">
        <v>56</v>
      </c>
      <c r="F61" s="28">
        <v>15.96</v>
      </c>
      <c r="G61" t="s">
        <v>61</v>
      </c>
      <c r="H61" s="25">
        <v>0.33888888888888885</v>
      </c>
    </row>
    <row r="62" spans="1:8">
      <c r="A62">
        <v>10056</v>
      </c>
      <c r="B62" t="s">
        <v>27</v>
      </c>
      <c r="C62" t="s">
        <v>55</v>
      </c>
      <c r="D62" s="24">
        <v>23846199</v>
      </c>
      <c r="E62" t="s">
        <v>56</v>
      </c>
      <c r="F62" s="28">
        <v>19.29</v>
      </c>
      <c r="G62" t="s">
        <v>61</v>
      </c>
      <c r="H62" s="25">
        <v>0</v>
      </c>
    </row>
    <row r="63" spans="1:8">
      <c r="A63">
        <v>10057</v>
      </c>
      <c r="B63" t="s">
        <v>58</v>
      </c>
      <c r="C63" t="s">
        <v>55</v>
      </c>
      <c r="D63" s="24">
        <v>15630914</v>
      </c>
      <c r="E63" t="s">
        <v>60</v>
      </c>
      <c r="F63" s="28">
        <v>16.489999999999998</v>
      </c>
      <c r="G63" t="s">
        <v>57</v>
      </c>
      <c r="H63" s="25">
        <v>0.83263888888888893</v>
      </c>
    </row>
    <row r="64" spans="1:8">
      <c r="A64">
        <v>10058</v>
      </c>
      <c r="B64" t="s">
        <v>28</v>
      </c>
      <c r="C64" t="s">
        <v>55</v>
      </c>
      <c r="D64" s="24">
        <v>64471213</v>
      </c>
      <c r="E64" t="s">
        <v>56</v>
      </c>
      <c r="F64" s="28">
        <v>18.12</v>
      </c>
      <c r="G64" t="s">
        <v>61</v>
      </c>
      <c r="H64" s="25">
        <v>0.73263888888888884</v>
      </c>
    </row>
    <row r="65" spans="1:8">
      <c r="A65">
        <v>10059</v>
      </c>
      <c r="B65" t="s">
        <v>28</v>
      </c>
      <c r="C65" t="s">
        <v>59</v>
      </c>
      <c r="D65" s="24">
        <v>70288635</v>
      </c>
      <c r="E65" t="s">
        <v>56</v>
      </c>
      <c r="F65" s="28">
        <v>18.22</v>
      </c>
      <c r="G65" t="s">
        <v>57</v>
      </c>
      <c r="H65" s="25">
        <v>0.66111111111111109</v>
      </c>
    </row>
    <row r="66" spans="1:8">
      <c r="A66">
        <v>10060</v>
      </c>
      <c r="B66" t="s">
        <v>28</v>
      </c>
      <c r="C66" t="s">
        <v>59</v>
      </c>
      <c r="D66" s="24">
        <v>46067931</v>
      </c>
      <c r="E66" t="s">
        <v>56</v>
      </c>
      <c r="F66" s="28">
        <v>18.32</v>
      </c>
      <c r="G66" t="s">
        <v>61</v>
      </c>
      <c r="H66" s="25">
        <v>0.42708333333333331</v>
      </c>
    </row>
    <row r="67" spans="1:8">
      <c r="A67">
        <v>10061</v>
      </c>
      <c r="B67" t="s">
        <v>58</v>
      </c>
      <c r="C67" t="s">
        <v>59</v>
      </c>
      <c r="D67" s="24">
        <v>73400603</v>
      </c>
      <c r="E67" t="s">
        <v>56</v>
      </c>
      <c r="F67" s="28">
        <v>23.77</v>
      </c>
      <c r="G67" t="s">
        <v>57</v>
      </c>
      <c r="H67" s="25">
        <v>0.82847222222222217</v>
      </c>
    </row>
    <row r="68" spans="1:8">
      <c r="A68">
        <v>10062</v>
      </c>
      <c r="B68" t="s">
        <v>28</v>
      </c>
      <c r="C68" t="s">
        <v>55</v>
      </c>
      <c r="D68" s="24">
        <v>31794035</v>
      </c>
      <c r="E68" t="s">
        <v>56</v>
      </c>
      <c r="F68" s="28">
        <v>24.35</v>
      </c>
      <c r="G68" t="s">
        <v>61</v>
      </c>
      <c r="H68" s="25">
        <v>0.63611111111111118</v>
      </c>
    </row>
    <row r="69" spans="1:8">
      <c r="A69">
        <v>10063</v>
      </c>
      <c r="B69" t="s">
        <v>19</v>
      </c>
      <c r="C69" t="s">
        <v>59</v>
      </c>
      <c r="D69" s="24">
        <v>72954240</v>
      </c>
      <c r="E69" t="s">
        <v>60</v>
      </c>
      <c r="F69" s="28">
        <v>20.13</v>
      </c>
      <c r="G69" t="s">
        <v>57</v>
      </c>
      <c r="H69" s="25">
        <v>0.57986111111111105</v>
      </c>
    </row>
    <row r="70" spans="1:8">
      <c r="A70">
        <v>10064</v>
      </c>
      <c r="B70" t="s">
        <v>27</v>
      </c>
      <c r="C70" t="s">
        <v>59</v>
      </c>
      <c r="D70" s="24">
        <v>12364851</v>
      </c>
      <c r="E70" t="s">
        <v>60</v>
      </c>
      <c r="F70" s="28">
        <v>20.77</v>
      </c>
      <c r="G70" t="s">
        <v>57</v>
      </c>
      <c r="H70" s="25">
        <v>0.56527777777777777</v>
      </c>
    </row>
    <row r="71" spans="1:8">
      <c r="A71">
        <v>10065</v>
      </c>
      <c r="B71" t="s">
        <v>27</v>
      </c>
      <c r="C71" t="s">
        <v>59</v>
      </c>
      <c r="D71" s="24">
        <v>19974213</v>
      </c>
      <c r="E71" t="s">
        <v>60</v>
      </c>
      <c r="F71" s="28">
        <v>16.98</v>
      </c>
      <c r="G71" t="s">
        <v>57</v>
      </c>
      <c r="H71" s="25">
        <v>0.80625000000000002</v>
      </c>
    </row>
    <row r="72" spans="1:8">
      <c r="A72">
        <v>10066</v>
      </c>
      <c r="B72" t="s">
        <v>28</v>
      </c>
      <c r="C72" t="s">
        <v>59</v>
      </c>
      <c r="D72" s="24">
        <v>68753569</v>
      </c>
      <c r="E72" t="s">
        <v>60</v>
      </c>
      <c r="F72" s="28">
        <v>19.399999999999999</v>
      </c>
      <c r="G72" t="s">
        <v>61</v>
      </c>
      <c r="H72" s="25">
        <v>0.62638888888888888</v>
      </c>
    </row>
    <row r="73" spans="1:8">
      <c r="A73">
        <v>10067</v>
      </c>
      <c r="B73" t="s">
        <v>28</v>
      </c>
      <c r="C73" t="s">
        <v>55</v>
      </c>
      <c r="D73" s="24">
        <v>77232784</v>
      </c>
      <c r="E73" t="s">
        <v>60</v>
      </c>
      <c r="F73" s="28">
        <v>23.49</v>
      </c>
      <c r="G73" t="s">
        <v>61</v>
      </c>
      <c r="H73" s="25">
        <v>0.16944444444444443</v>
      </c>
    </row>
    <row r="74" spans="1:8">
      <c r="A74">
        <v>10068</v>
      </c>
      <c r="B74" t="s">
        <v>19</v>
      </c>
      <c r="C74" t="s">
        <v>59</v>
      </c>
      <c r="D74" s="24">
        <v>94731015</v>
      </c>
      <c r="E74" t="s">
        <v>56</v>
      </c>
      <c r="F74" s="28">
        <v>15.58</v>
      </c>
      <c r="G74" t="s">
        <v>61</v>
      </c>
      <c r="H74" s="25">
        <v>0.48541666666666666</v>
      </c>
    </row>
    <row r="75" spans="1:8">
      <c r="A75">
        <v>10069</v>
      </c>
      <c r="B75" t="s">
        <v>19</v>
      </c>
      <c r="C75" t="s">
        <v>59</v>
      </c>
      <c r="D75" s="24">
        <v>49007475</v>
      </c>
      <c r="E75" t="s">
        <v>56</v>
      </c>
      <c r="F75" s="28">
        <v>21.94</v>
      </c>
      <c r="G75" t="s">
        <v>57</v>
      </c>
      <c r="H75" s="25">
        <v>0.84652777777777777</v>
      </c>
    </row>
    <row r="76" spans="1:8">
      <c r="A76">
        <v>10070</v>
      </c>
      <c r="B76" t="s">
        <v>19</v>
      </c>
      <c r="C76" t="s">
        <v>59</v>
      </c>
      <c r="D76" s="24">
        <v>71384600</v>
      </c>
      <c r="E76" t="s">
        <v>60</v>
      </c>
      <c r="F76" s="28">
        <v>229.73</v>
      </c>
      <c r="G76" t="s">
        <v>61</v>
      </c>
      <c r="H76" s="25">
        <v>4.2361111111111106E-2</v>
      </c>
    </row>
    <row r="77" spans="1:8">
      <c r="A77">
        <v>10071</v>
      </c>
      <c r="B77" t="s">
        <v>58</v>
      </c>
      <c r="C77" t="s">
        <v>59</v>
      </c>
      <c r="D77" s="24">
        <v>15282110</v>
      </c>
      <c r="E77" t="s">
        <v>56</v>
      </c>
      <c r="F77" s="28">
        <v>16.059999999999999</v>
      </c>
      <c r="G77" t="s">
        <v>61</v>
      </c>
      <c r="H77" s="25">
        <v>0.4381944444444445</v>
      </c>
    </row>
    <row r="78" spans="1:8">
      <c r="A78">
        <v>10072</v>
      </c>
      <c r="B78" t="s">
        <v>19</v>
      </c>
      <c r="C78" t="s">
        <v>59</v>
      </c>
      <c r="D78" s="24">
        <v>87012305</v>
      </c>
      <c r="E78" t="s">
        <v>56</v>
      </c>
      <c r="F78" s="28">
        <v>22.21</v>
      </c>
      <c r="G78" t="s">
        <v>57</v>
      </c>
      <c r="H78" s="25">
        <v>0.41736111111111113</v>
      </c>
    </row>
    <row r="79" spans="1:8">
      <c r="A79">
        <v>10073</v>
      </c>
      <c r="B79" t="s">
        <v>58</v>
      </c>
      <c r="C79" t="s">
        <v>59</v>
      </c>
      <c r="D79" s="24">
        <v>27742544</v>
      </c>
      <c r="E79" t="s">
        <v>60</v>
      </c>
      <c r="F79" s="28">
        <v>21.58</v>
      </c>
      <c r="G79" t="s">
        <v>57</v>
      </c>
      <c r="H79" s="25">
        <v>0</v>
      </c>
    </row>
    <row r="80" spans="1:8">
      <c r="A80">
        <v>10074</v>
      </c>
      <c r="B80" t="s">
        <v>27</v>
      </c>
      <c r="C80" t="s">
        <v>55</v>
      </c>
      <c r="D80" s="24">
        <v>97981670</v>
      </c>
      <c r="E80" t="s">
        <v>60</v>
      </c>
      <c r="F80" s="28">
        <v>16.09</v>
      </c>
      <c r="G80" t="s">
        <v>61</v>
      </c>
      <c r="H80" s="25">
        <v>0.12708333333333333</v>
      </c>
    </row>
    <row r="81" spans="1:8">
      <c r="A81">
        <v>10075</v>
      </c>
      <c r="B81" t="s">
        <v>28</v>
      </c>
      <c r="C81" t="s">
        <v>59</v>
      </c>
      <c r="D81" s="24">
        <v>83670405</v>
      </c>
      <c r="E81" t="s">
        <v>60</v>
      </c>
      <c r="F81" s="28">
        <v>16.100000000000001</v>
      </c>
      <c r="G81" t="s">
        <v>57</v>
      </c>
      <c r="H81" s="25">
        <v>0.42569444444444443</v>
      </c>
    </row>
    <row r="82" spans="1:8">
      <c r="A82">
        <v>10076</v>
      </c>
      <c r="B82" t="s">
        <v>28</v>
      </c>
      <c r="C82" t="s">
        <v>59</v>
      </c>
      <c r="D82" s="24">
        <v>99063530</v>
      </c>
      <c r="E82" t="s">
        <v>56</v>
      </c>
      <c r="F82" s="28">
        <v>15.95</v>
      </c>
      <c r="G82" t="s">
        <v>57</v>
      </c>
      <c r="H82" s="25">
        <v>0</v>
      </c>
    </row>
    <row r="83" spans="1:8">
      <c r="A83">
        <v>10077</v>
      </c>
      <c r="B83" t="s">
        <v>19</v>
      </c>
      <c r="C83" t="s">
        <v>59</v>
      </c>
      <c r="D83" s="24">
        <v>25978103</v>
      </c>
      <c r="E83" t="s">
        <v>60</v>
      </c>
      <c r="F83" s="28">
        <v>17.77</v>
      </c>
      <c r="G83" t="s">
        <v>61</v>
      </c>
      <c r="H83" s="25">
        <v>4.2361111111111106E-2</v>
      </c>
    </row>
    <row r="84" spans="1:8">
      <c r="A84">
        <v>10078</v>
      </c>
      <c r="B84" t="s">
        <v>27</v>
      </c>
      <c r="C84" t="s">
        <v>59</v>
      </c>
      <c r="D84" s="24">
        <v>81824666</v>
      </c>
      <c r="E84" t="s">
        <v>56</v>
      </c>
      <c r="F84" s="28">
        <v>19.3</v>
      </c>
      <c r="G84" t="s">
        <v>57</v>
      </c>
      <c r="H84" s="25">
        <v>0.47499999999999998</v>
      </c>
    </row>
    <row r="85" spans="1:8">
      <c r="A85">
        <v>10079</v>
      </c>
      <c r="B85" t="s">
        <v>58</v>
      </c>
      <c r="C85" t="s">
        <v>55</v>
      </c>
      <c r="D85" s="24">
        <v>86833489</v>
      </c>
      <c r="E85" t="s">
        <v>56</v>
      </c>
      <c r="F85" s="28">
        <v>21.75</v>
      </c>
      <c r="G85" t="s">
        <v>61</v>
      </c>
      <c r="H85" s="25">
        <v>0.43263888888888885</v>
      </c>
    </row>
    <row r="86" spans="1:8">
      <c r="A86">
        <v>10080</v>
      </c>
      <c r="B86" t="s">
        <v>58</v>
      </c>
      <c r="C86" t="s">
        <v>55</v>
      </c>
      <c r="D86" s="24">
        <v>73512800</v>
      </c>
      <c r="E86" t="s">
        <v>56</v>
      </c>
      <c r="F86" s="28">
        <v>20.51</v>
      </c>
      <c r="G86" t="s">
        <v>61</v>
      </c>
      <c r="H86" s="25">
        <v>0.47847222222222219</v>
      </c>
    </row>
    <row r="87" spans="1:8">
      <c r="A87">
        <v>10081</v>
      </c>
      <c r="B87" t="s">
        <v>27</v>
      </c>
      <c r="C87" t="s">
        <v>59</v>
      </c>
      <c r="D87" s="24">
        <v>11673210</v>
      </c>
      <c r="E87" t="s">
        <v>56</v>
      </c>
      <c r="F87" s="28">
        <v>16.14</v>
      </c>
      <c r="G87" t="s">
        <v>57</v>
      </c>
      <c r="H87" s="25">
        <v>0.16944444444444443</v>
      </c>
    </row>
    <row r="88" spans="1:8">
      <c r="A88">
        <v>10082</v>
      </c>
      <c r="B88" t="s">
        <v>58</v>
      </c>
      <c r="C88" t="s">
        <v>55</v>
      </c>
      <c r="D88" s="24">
        <v>76787805</v>
      </c>
      <c r="E88" t="s">
        <v>60</v>
      </c>
      <c r="F88" s="28">
        <v>157.76</v>
      </c>
      <c r="G88" t="s">
        <v>61</v>
      </c>
      <c r="H88" s="25">
        <v>0.79305555555555562</v>
      </c>
    </row>
    <row r="89" spans="1:8">
      <c r="A89">
        <v>10083</v>
      </c>
      <c r="B89" t="s">
        <v>19</v>
      </c>
      <c r="C89" t="s">
        <v>59</v>
      </c>
      <c r="D89" s="24">
        <v>34610946</v>
      </c>
      <c r="E89" t="s">
        <v>56</v>
      </c>
      <c r="F89" s="28">
        <v>21.55</v>
      </c>
      <c r="G89" t="s">
        <v>61</v>
      </c>
      <c r="H89" s="25">
        <v>0.38124999999999998</v>
      </c>
    </row>
    <row r="90" spans="1:8">
      <c r="A90">
        <v>10084</v>
      </c>
      <c r="B90" t="s">
        <v>27</v>
      </c>
      <c r="C90" t="s">
        <v>55</v>
      </c>
      <c r="D90" s="24">
        <v>69586073</v>
      </c>
      <c r="E90" t="s">
        <v>56</v>
      </c>
      <c r="F90" s="28">
        <v>21.85</v>
      </c>
      <c r="G90" t="s">
        <v>57</v>
      </c>
      <c r="H90" s="25">
        <v>0.51666666666666672</v>
      </c>
    </row>
    <row r="91" spans="1:8">
      <c r="A91">
        <v>10085</v>
      </c>
      <c r="B91" t="s">
        <v>28</v>
      </c>
      <c r="C91" t="s">
        <v>59</v>
      </c>
      <c r="D91" s="24">
        <v>87017416</v>
      </c>
      <c r="E91" t="s">
        <v>56</v>
      </c>
      <c r="F91" s="28">
        <v>21.7</v>
      </c>
      <c r="G91" t="s">
        <v>57</v>
      </c>
      <c r="H91" s="25">
        <v>0.56458333333333333</v>
      </c>
    </row>
    <row r="92" spans="1:8">
      <c r="A92">
        <v>10086</v>
      </c>
      <c r="B92" t="s">
        <v>28</v>
      </c>
      <c r="C92" t="s">
        <v>55</v>
      </c>
      <c r="D92" s="24">
        <v>37371293</v>
      </c>
      <c r="E92" t="s">
        <v>56</v>
      </c>
      <c r="F92" s="28">
        <v>20.309999999999999</v>
      </c>
      <c r="G92" t="s">
        <v>61</v>
      </c>
      <c r="H92" s="25">
        <v>0.80972222222222223</v>
      </c>
    </row>
    <row r="93" spans="1:8">
      <c r="A93">
        <v>10087</v>
      </c>
      <c r="B93" t="s">
        <v>28</v>
      </c>
      <c r="C93" t="s">
        <v>59</v>
      </c>
      <c r="D93" s="24">
        <v>27497600</v>
      </c>
      <c r="E93" t="s">
        <v>60</v>
      </c>
      <c r="F93" s="28">
        <v>23.62</v>
      </c>
      <c r="G93" t="s">
        <v>61</v>
      </c>
      <c r="H93" s="25">
        <v>0.93055555555555547</v>
      </c>
    </row>
    <row r="94" spans="1:8">
      <c r="A94">
        <v>10088</v>
      </c>
      <c r="B94" t="s">
        <v>28</v>
      </c>
      <c r="C94" t="s">
        <v>59</v>
      </c>
      <c r="D94" s="24">
        <v>29510284</v>
      </c>
      <c r="E94" t="s">
        <v>56</v>
      </c>
      <c r="F94" s="28">
        <v>216.37</v>
      </c>
      <c r="G94" t="s">
        <v>61</v>
      </c>
      <c r="H94" s="25">
        <v>0.43055555555555558</v>
      </c>
    </row>
    <row r="95" spans="1:8">
      <c r="A95">
        <v>10089</v>
      </c>
      <c r="B95" t="s">
        <v>27</v>
      </c>
      <c r="C95" t="s">
        <v>55</v>
      </c>
      <c r="D95" s="24">
        <v>40878208</v>
      </c>
      <c r="E95" t="s">
        <v>56</v>
      </c>
      <c r="F95" s="28">
        <v>21.99</v>
      </c>
      <c r="G95" t="s">
        <v>57</v>
      </c>
      <c r="H95" s="25">
        <v>0.12708333333333333</v>
      </c>
    </row>
    <row r="96" spans="1:8">
      <c r="A96">
        <v>10090</v>
      </c>
      <c r="B96" t="s">
        <v>58</v>
      </c>
      <c r="C96" t="s">
        <v>59</v>
      </c>
      <c r="D96" s="24">
        <v>83375454</v>
      </c>
      <c r="E96" t="s">
        <v>60</v>
      </c>
      <c r="F96" s="28">
        <v>18.2</v>
      </c>
      <c r="G96" t="s">
        <v>57</v>
      </c>
      <c r="H96" s="25">
        <v>0.21180555555555555</v>
      </c>
    </row>
    <row r="97" spans="1:8">
      <c r="A97">
        <v>10091</v>
      </c>
      <c r="B97" t="s">
        <v>28</v>
      </c>
      <c r="C97" t="s">
        <v>59</v>
      </c>
      <c r="D97" s="24">
        <v>61236522</v>
      </c>
      <c r="E97" t="s">
        <v>60</v>
      </c>
      <c r="F97" s="28">
        <v>17.309999999999999</v>
      </c>
      <c r="G97" t="s">
        <v>61</v>
      </c>
      <c r="H97" s="25">
        <v>0</v>
      </c>
    </row>
    <row r="98" spans="1:8">
      <c r="A98">
        <v>10092</v>
      </c>
      <c r="B98" t="s">
        <v>58</v>
      </c>
      <c r="C98" t="s">
        <v>59</v>
      </c>
      <c r="D98" s="24">
        <v>68788857</v>
      </c>
      <c r="E98" t="s">
        <v>56</v>
      </c>
      <c r="F98" s="28">
        <v>23.94</v>
      </c>
      <c r="G98" t="s">
        <v>61</v>
      </c>
      <c r="H98" s="25">
        <v>0.67222222222222217</v>
      </c>
    </row>
    <row r="99" spans="1:8">
      <c r="A99">
        <v>10093</v>
      </c>
      <c r="B99" t="s">
        <v>58</v>
      </c>
      <c r="C99" t="s">
        <v>55</v>
      </c>
      <c r="D99" s="24">
        <v>58309878</v>
      </c>
      <c r="E99" t="s">
        <v>60</v>
      </c>
      <c r="F99" s="28">
        <v>174.25</v>
      </c>
      <c r="G99" t="s">
        <v>61</v>
      </c>
      <c r="H99" s="25">
        <v>0.7715277777777777</v>
      </c>
    </row>
    <row r="100" spans="1:8">
      <c r="A100">
        <v>10094</v>
      </c>
      <c r="B100" t="s">
        <v>58</v>
      </c>
      <c r="C100" t="s">
        <v>55</v>
      </c>
      <c r="D100" s="24">
        <v>84324439</v>
      </c>
      <c r="E100" t="s">
        <v>56</v>
      </c>
      <c r="F100" s="28">
        <v>20.260000000000002</v>
      </c>
      <c r="G100" t="s">
        <v>57</v>
      </c>
      <c r="H100" s="25">
        <v>0.16944444444444443</v>
      </c>
    </row>
    <row r="101" spans="1:8">
      <c r="A101">
        <v>10095</v>
      </c>
      <c r="B101" t="s">
        <v>27</v>
      </c>
      <c r="C101" t="s">
        <v>59</v>
      </c>
      <c r="D101" s="24">
        <v>90647889</v>
      </c>
      <c r="E101" t="s">
        <v>56</v>
      </c>
      <c r="F101" s="28">
        <v>18.73</v>
      </c>
      <c r="G101" t="s">
        <v>57</v>
      </c>
      <c r="H101" s="25">
        <v>0</v>
      </c>
    </row>
    <row r="102" spans="1:8">
      <c r="A102">
        <v>10096</v>
      </c>
      <c r="B102" t="s">
        <v>27</v>
      </c>
      <c r="C102" t="s">
        <v>55</v>
      </c>
      <c r="D102" s="24">
        <v>31225474</v>
      </c>
      <c r="E102" t="s">
        <v>56</v>
      </c>
      <c r="F102" s="28">
        <v>22.88</v>
      </c>
      <c r="G102" t="s">
        <v>61</v>
      </c>
      <c r="H102" s="25">
        <v>0.54791666666666672</v>
      </c>
    </row>
    <row r="103" spans="1:8">
      <c r="A103">
        <v>10097</v>
      </c>
      <c r="B103" t="s">
        <v>58</v>
      </c>
      <c r="C103" t="s">
        <v>55</v>
      </c>
      <c r="D103" s="24">
        <v>79286039</v>
      </c>
      <c r="E103" t="s">
        <v>56</v>
      </c>
      <c r="F103" s="28">
        <v>19.149999999999999</v>
      </c>
      <c r="G103" t="s">
        <v>57</v>
      </c>
      <c r="H103" s="25">
        <v>0.61388888888888882</v>
      </c>
    </row>
    <row r="104" spans="1:8">
      <c r="A104">
        <v>10098</v>
      </c>
      <c r="B104" t="s">
        <v>19</v>
      </c>
      <c r="C104" t="s">
        <v>59</v>
      </c>
      <c r="D104" s="24">
        <v>69628094</v>
      </c>
      <c r="E104" t="s">
        <v>60</v>
      </c>
      <c r="F104" s="28">
        <v>15.33</v>
      </c>
      <c r="G104" t="s">
        <v>61</v>
      </c>
      <c r="H104" s="25">
        <v>4.2361111111111106E-2</v>
      </c>
    </row>
    <row r="105" spans="1:8">
      <c r="A105">
        <v>10099</v>
      </c>
      <c r="B105" t="s">
        <v>58</v>
      </c>
      <c r="C105" t="s">
        <v>55</v>
      </c>
      <c r="D105" s="24">
        <v>19891764</v>
      </c>
      <c r="E105" t="s">
        <v>56</v>
      </c>
      <c r="F105" s="28">
        <v>20.82</v>
      </c>
      <c r="G105" t="s">
        <v>57</v>
      </c>
      <c r="H105" s="25">
        <v>0.75069444444444444</v>
      </c>
    </row>
    <row r="106" spans="1:8">
      <c r="A106">
        <v>10100</v>
      </c>
      <c r="B106" t="s">
        <v>58</v>
      </c>
      <c r="C106" t="s">
        <v>59</v>
      </c>
      <c r="D106" s="24">
        <v>21992857</v>
      </c>
      <c r="E106" t="s">
        <v>56</v>
      </c>
      <c r="F106" s="28">
        <v>20.61</v>
      </c>
      <c r="G106" t="s">
        <v>57</v>
      </c>
      <c r="H106" s="25">
        <v>0.77013888888888893</v>
      </c>
    </row>
    <row r="107" spans="1:8">
      <c r="A107">
        <v>10101</v>
      </c>
      <c r="B107" t="s">
        <v>28</v>
      </c>
      <c r="C107" t="s">
        <v>59</v>
      </c>
      <c r="D107" s="24">
        <v>40572972</v>
      </c>
      <c r="E107" t="s">
        <v>56</v>
      </c>
      <c r="F107" s="28">
        <v>16.43</v>
      </c>
      <c r="G107" t="s">
        <v>57</v>
      </c>
      <c r="H107" s="25">
        <v>0.47430555555555554</v>
      </c>
    </row>
    <row r="108" spans="1:8">
      <c r="A108">
        <v>10102</v>
      </c>
      <c r="B108" t="s">
        <v>58</v>
      </c>
      <c r="C108" t="s">
        <v>59</v>
      </c>
      <c r="D108" s="24">
        <v>80218197</v>
      </c>
      <c r="E108" t="s">
        <v>56</v>
      </c>
      <c r="F108" s="28">
        <v>21.1</v>
      </c>
      <c r="G108" t="s">
        <v>57</v>
      </c>
      <c r="H108" s="25">
        <v>8.4722222222222213E-2</v>
      </c>
    </row>
    <row r="109" spans="1:8">
      <c r="A109">
        <v>10103</v>
      </c>
      <c r="B109" t="s">
        <v>27</v>
      </c>
      <c r="C109" t="s">
        <v>55</v>
      </c>
      <c r="D109" s="24">
        <v>72072353</v>
      </c>
      <c r="E109" t="s">
        <v>60</v>
      </c>
      <c r="F109" s="28">
        <v>21.64</v>
      </c>
      <c r="G109" t="s">
        <v>61</v>
      </c>
      <c r="H109" s="25">
        <v>0.94444444444444453</v>
      </c>
    </row>
    <row r="110" spans="1:8">
      <c r="A110">
        <v>10104</v>
      </c>
      <c r="B110" t="s">
        <v>58</v>
      </c>
      <c r="C110" t="s">
        <v>55</v>
      </c>
      <c r="D110" s="24">
        <v>44250706</v>
      </c>
      <c r="E110" t="s">
        <v>60</v>
      </c>
      <c r="F110" s="28">
        <v>18.059999999999999</v>
      </c>
      <c r="G110" t="s">
        <v>61</v>
      </c>
      <c r="H110" s="25">
        <v>0.66666666666666663</v>
      </c>
    </row>
    <row r="111" spans="1:8">
      <c r="A111">
        <v>10105</v>
      </c>
      <c r="B111" t="s">
        <v>28</v>
      </c>
      <c r="C111" t="s">
        <v>59</v>
      </c>
      <c r="D111" s="24">
        <v>31062653</v>
      </c>
      <c r="E111" t="s">
        <v>56</v>
      </c>
      <c r="F111" s="28">
        <v>19.350000000000001</v>
      </c>
      <c r="G111" t="s">
        <v>61</v>
      </c>
      <c r="H111" s="25">
        <v>0.42083333333333334</v>
      </c>
    </row>
    <row r="112" spans="1:8">
      <c r="A112">
        <v>10106</v>
      </c>
      <c r="B112" t="s">
        <v>27</v>
      </c>
      <c r="C112" t="s">
        <v>59</v>
      </c>
      <c r="D112" s="24">
        <v>84047393</v>
      </c>
      <c r="E112" t="s">
        <v>56</v>
      </c>
      <c r="F112" s="28">
        <v>23.7</v>
      </c>
      <c r="G112" t="s">
        <v>57</v>
      </c>
      <c r="H112" s="25">
        <v>0.79305555555555562</v>
      </c>
    </row>
    <row r="113" spans="1:8">
      <c r="A113">
        <v>10107</v>
      </c>
      <c r="B113" t="s">
        <v>27</v>
      </c>
      <c r="C113" t="s">
        <v>59</v>
      </c>
      <c r="D113" s="24">
        <v>59891368</v>
      </c>
      <c r="E113" t="s">
        <v>56</v>
      </c>
      <c r="F113" s="28">
        <v>18.93</v>
      </c>
      <c r="G113" t="s">
        <v>61</v>
      </c>
      <c r="H113" s="25">
        <v>0.38124999999999998</v>
      </c>
    </row>
    <row r="114" spans="1:8">
      <c r="A114">
        <v>10108</v>
      </c>
      <c r="B114" t="s">
        <v>27</v>
      </c>
      <c r="C114" t="s">
        <v>59</v>
      </c>
      <c r="D114" s="24">
        <v>47234209</v>
      </c>
      <c r="E114" t="s">
        <v>60</v>
      </c>
      <c r="F114" s="28">
        <v>16.829999999999998</v>
      </c>
      <c r="G114" t="s">
        <v>61</v>
      </c>
      <c r="H114" s="25">
        <v>0.68055555555555547</v>
      </c>
    </row>
    <row r="115" spans="1:8">
      <c r="A115">
        <v>10109</v>
      </c>
      <c r="B115" t="s">
        <v>58</v>
      </c>
      <c r="C115" t="s">
        <v>59</v>
      </c>
      <c r="D115" s="24">
        <v>47893510</v>
      </c>
      <c r="E115" t="s">
        <v>56</v>
      </c>
      <c r="F115" s="28">
        <v>22.19</v>
      </c>
      <c r="G115" t="s">
        <v>61</v>
      </c>
      <c r="H115" s="25">
        <v>0.78611111111111109</v>
      </c>
    </row>
    <row r="116" spans="1:8">
      <c r="A116">
        <v>10110</v>
      </c>
      <c r="B116" t="s">
        <v>58</v>
      </c>
      <c r="C116" t="s">
        <v>59</v>
      </c>
      <c r="D116" s="24">
        <v>23513829</v>
      </c>
      <c r="E116" t="s">
        <v>56</v>
      </c>
      <c r="F116" s="28">
        <v>23.9</v>
      </c>
      <c r="G116" t="s">
        <v>61</v>
      </c>
      <c r="H116" s="25">
        <v>0.81944444444444453</v>
      </c>
    </row>
    <row r="117" spans="1:8">
      <c r="A117">
        <v>10111</v>
      </c>
      <c r="B117" t="s">
        <v>28</v>
      </c>
      <c r="C117" t="s">
        <v>59</v>
      </c>
      <c r="D117" s="24">
        <v>20993720</v>
      </c>
      <c r="E117" t="s">
        <v>56</v>
      </c>
      <c r="F117" s="28">
        <v>17.47</v>
      </c>
      <c r="G117" t="s">
        <v>57</v>
      </c>
      <c r="H117" s="25">
        <v>0.45347222222222222</v>
      </c>
    </row>
    <row r="118" spans="1:8">
      <c r="A118">
        <v>10112</v>
      </c>
      <c r="B118" t="s">
        <v>58</v>
      </c>
      <c r="C118" t="s">
        <v>59</v>
      </c>
      <c r="D118" s="24">
        <v>58724265</v>
      </c>
      <c r="E118" t="s">
        <v>60</v>
      </c>
      <c r="F118" s="28">
        <v>209.37</v>
      </c>
      <c r="G118" t="s">
        <v>61</v>
      </c>
      <c r="H118" s="25">
        <v>0.84097222222222223</v>
      </c>
    </row>
    <row r="119" spans="1:8">
      <c r="A119">
        <v>10113</v>
      </c>
      <c r="B119" t="s">
        <v>27</v>
      </c>
      <c r="C119" t="s">
        <v>59</v>
      </c>
      <c r="D119" s="24">
        <v>47687764</v>
      </c>
      <c r="E119" t="s">
        <v>56</v>
      </c>
      <c r="F119" s="29">
        <v>18</v>
      </c>
      <c r="G119" t="s">
        <v>57</v>
      </c>
      <c r="H119" s="25">
        <v>0.33888888888888885</v>
      </c>
    </row>
    <row r="120" spans="1:8">
      <c r="A120">
        <v>10114</v>
      </c>
      <c r="B120" t="s">
        <v>28</v>
      </c>
      <c r="C120" t="s">
        <v>59</v>
      </c>
      <c r="D120" s="24">
        <v>53008101</v>
      </c>
      <c r="E120" t="s">
        <v>56</v>
      </c>
      <c r="F120" s="28">
        <v>22.83</v>
      </c>
      <c r="G120" t="s">
        <v>61</v>
      </c>
      <c r="H120" s="25">
        <v>0.4284722222222222</v>
      </c>
    </row>
    <row r="121" spans="1:8">
      <c r="A121">
        <v>10115</v>
      </c>
      <c r="B121" t="s">
        <v>28</v>
      </c>
      <c r="C121" t="s">
        <v>59</v>
      </c>
      <c r="D121" s="24">
        <v>68494188</v>
      </c>
      <c r="E121" t="s">
        <v>60</v>
      </c>
      <c r="F121" s="28">
        <v>20.309999999999999</v>
      </c>
      <c r="G121" t="s">
        <v>57</v>
      </c>
      <c r="H121" s="25">
        <v>0.6069444444444444</v>
      </c>
    </row>
    <row r="122" spans="1:8">
      <c r="A122">
        <v>10116</v>
      </c>
      <c r="B122" t="s">
        <v>19</v>
      </c>
      <c r="C122" t="s">
        <v>55</v>
      </c>
      <c r="D122" s="24">
        <v>40357817</v>
      </c>
      <c r="E122" t="s">
        <v>56</v>
      </c>
      <c r="F122" s="28">
        <v>22.06</v>
      </c>
      <c r="G122" t="s">
        <v>57</v>
      </c>
      <c r="H122" s="25">
        <v>0.46319444444444446</v>
      </c>
    </row>
    <row r="123" spans="1:8">
      <c r="A123">
        <v>10117</v>
      </c>
      <c r="B123" t="s">
        <v>27</v>
      </c>
      <c r="C123" t="s">
        <v>55</v>
      </c>
      <c r="D123" s="24">
        <v>91328383</v>
      </c>
      <c r="E123" t="s">
        <v>56</v>
      </c>
      <c r="F123" s="28">
        <v>15.22</v>
      </c>
      <c r="G123" t="s">
        <v>61</v>
      </c>
      <c r="H123" s="25">
        <v>0.44374999999999998</v>
      </c>
    </row>
    <row r="124" spans="1:8">
      <c r="A124">
        <v>10118</v>
      </c>
      <c r="B124" t="s">
        <v>19</v>
      </c>
      <c r="C124" t="s">
        <v>55</v>
      </c>
      <c r="D124" s="24">
        <v>51497241</v>
      </c>
      <c r="E124" t="s">
        <v>56</v>
      </c>
      <c r="F124" s="28">
        <v>20.6</v>
      </c>
      <c r="G124" t="s">
        <v>57</v>
      </c>
      <c r="H124" s="25">
        <v>0.8652777777777777</v>
      </c>
    </row>
    <row r="125" spans="1:8">
      <c r="A125">
        <v>10119</v>
      </c>
      <c r="B125" t="s">
        <v>28</v>
      </c>
      <c r="C125" t="s">
        <v>59</v>
      </c>
      <c r="D125" s="24">
        <v>42829269</v>
      </c>
      <c r="E125" t="s">
        <v>56</v>
      </c>
      <c r="F125" s="28">
        <v>18.25</v>
      </c>
      <c r="G125" t="s">
        <v>57</v>
      </c>
      <c r="H125" s="25">
        <v>0.86250000000000004</v>
      </c>
    </row>
    <row r="126" spans="1:8">
      <c r="A126">
        <v>10120</v>
      </c>
      <c r="B126" t="s">
        <v>28</v>
      </c>
      <c r="C126" t="s">
        <v>59</v>
      </c>
      <c r="D126" s="24">
        <v>56174714</v>
      </c>
      <c r="E126" t="s">
        <v>56</v>
      </c>
      <c r="F126" s="28">
        <v>174.18</v>
      </c>
      <c r="G126" t="s">
        <v>61</v>
      </c>
      <c r="H126" s="25">
        <v>0.52916666666666667</v>
      </c>
    </row>
    <row r="127" spans="1:8">
      <c r="A127">
        <v>10121</v>
      </c>
      <c r="B127" t="s">
        <v>27</v>
      </c>
      <c r="C127" t="s">
        <v>59</v>
      </c>
      <c r="D127" s="24">
        <v>17210514</v>
      </c>
      <c r="E127" t="s">
        <v>60</v>
      </c>
      <c r="F127" s="28">
        <v>19.579999999999998</v>
      </c>
      <c r="G127" t="s">
        <v>57</v>
      </c>
      <c r="H127" s="25">
        <v>0.93819444444444444</v>
      </c>
    </row>
    <row r="128" spans="1:8">
      <c r="A128">
        <v>10122</v>
      </c>
      <c r="B128" t="s">
        <v>58</v>
      </c>
      <c r="C128" t="s">
        <v>55</v>
      </c>
      <c r="D128" s="24">
        <v>40504819</v>
      </c>
      <c r="E128" t="s">
        <v>56</v>
      </c>
      <c r="F128" s="28">
        <v>17.91</v>
      </c>
      <c r="G128" t="s">
        <v>61</v>
      </c>
      <c r="H128" s="25">
        <v>0.80138888888888893</v>
      </c>
    </row>
    <row r="129" spans="1:8">
      <c r="A129">
        <v>10123</v>
      </c>
      <c r="B129" t="s">
        <v>58</v>
      </c>
      <c r="C129" t="s">
        <v>59</v>
      </c>
      <c r="D129" s="24">
        <v>58186991</v>
      </c>
      <c r="E129" t="s">
        <v>56</v>
      </c>
      <c r="F129" s="28">
        <v>22.9</v>
      </c>
      <c r="G129" t="s">
        <v>61</v>
      </c>
      <c r="H129" s="25">
        <v>0.51111111111111118</v>
      </c>
    </row>
    <row r="130" spans="1:8">
      <c r="A130">
        <v>10124</v>
      </c>
      <c r="B130" t="s">
        <v>27</v>
      </c>
      <c r="C130" t="s">
        <v>55</v>
      </c>
      <c r="D130" s="24">
        <v>46376047</v>
      </c>
      <c r="E130" t="s">
        <v>56</v>
      </c>
      <c r="F130" s="28">
        <v>22.26</v>
      </c>
      <c r="G130" t="s">
        <v>61</v>
      </c>
      <c r="H130" s="25">
        <v>0.74305555555555547</v>
      </c>
    </row>
    <row r="131" spans="1:8">
      <c r="A131">
        <v>10125</v>
      </c>
      <c r="B131" t="s">
        <v>19</v>
      </c>
      <c r="C131" t="s">
        <v>59</v>
      </c>
      <c r="D131" s="24">
        <v>95760408</v>
      </c>
      <c r="E131" t="s">
        <v>56</v>
      </c>
      <c r="F131" s="28">
        <v>19.04</v>
      </c>
      <c r="G131" t="s">
        <v>61</v>
      </c>
      <c r="H131" s="25">
        <v>0.64097222222222217</v>
      </c>
    </row>
    <row r="132" spans="1:8">
      <c r="A132">
        <v>10126</v>
      </c>
      <c r="B132" t="s">
        <v>28</v>
      </c>
      <c r="C132" t="s">
        <v>59</v>
      </c>
      <c r="D132" s="24">
        <v>73024614</v>
      </c>
      <c r="E132" t="s">
        <v>56</v>
      </c>
      <c r="F132" s="28">
        <v>17.420000000000002</v>
      </c>
      <c r="G132" t="s">
        <v>57</v>
      </c>
      <c r="H132" s="25">
        <v>0.21180555555555555</v>
      </c>
    </row>
    <row r="133" spans="1:8">
      <c r="A133">
        <v>10127</v>
      </c>
      <c r="B133" t="s">
        <v>58</v>
      </c>
      <c r="C133" t="s">
        <v>55</v>
      </c>
      <c r="D133" s="24">
        <v>63167563</v>
      </c>
      <c r="E133" t="s">
        <v>56</v>
      </c>
      <c r="F133" s="28">
        <v>18.54</v>
      </c>
      <c r="G133" t="s">
        <v>61</v>
      </c>
      <c r="H133" s="25">
        <v>0.8125</v>
      </c>
    </row>
    <row r="134" spans="1:8">
      <c r="A134">
        <v>10128</v>
      </c>
      <c r="B134" t="s">
        <v>27</v>
      </c>
      <c r="C134" t="s">
        <v>59</v>
      </c>
      <c r="D134" s="24">
        <v>83800724</v>
      </c>
      <c r="E134" t="s">
        <v>56</v>
      </c>
      <c r="F134" s="28">
        <v>19.739999999999998</v>
      </c>
      <c r="G134" t="s">
        <v>57</v>
      </c>
      <c r="H134" s="25">
        <v>0.53402777777777777</v>
      </c>
    </row>
    <row r="135" spans="1:8">
      <c r="A135">
        <v>10129</v>
      </c>
      <c r="B135" t="s">
        <v>58</v>
      </c>
      <c r="C135" t="s">
        <v>59</v>
      </c>
      <c r="D135" s="24">
        <v>11739665</v>
      </c>
      <c r="E135" t="s">
        <v>56</v>
      </c>
      <c r="F135" s="28">
        <v>22.03</v>
      </c>
      <c r="G135" t="s">
        <v>57</v>
      </c>
      <c r="H135" s="25">
        <v>0.61736111111111114</v>
      </c>
    </row>
    <row r="136" spans="1:8">
      <c r="A136">
        <v>10130</v>
      </c>
      <c r="B136" t="s">
        <v>58</v>
      </c>
      <c r="C136" t="s">
        <v>55</v>
      </c>
      <c r="D136" s="24">
        <v>74393415</v>
      </c>
      <c r="E136" t="s">
        <v>56</v>
      </c>
      <c r="F136" s="28">
        <v>236.49</v>
      </c>
      <c r="G136" t="s">
        <v>61</v>
      </c>
      <c r="H136" s="25">
        <v>0.68333333333333324</v>
      </c>
    </row>
    <row r="137" spans="1:8">
      <c r="A137">
        <v>10131</v>
      </c>
      <c r="B137" t="s">
        <v>19</v>
      </c>
      <c r="C137" t="s">
        <v>55</v>
      </c>
      <c r="D137" s="24">
        <v>30372359</v>
      </c>
      <c r="E137" t="s">
        <v>60</v>
      </c>
      <c r="F137" s="28">
        <v>19.3</v>
      </c>
      <c r="G137" t="s">
        <v>57</v>
      </c>
      <c r="H137" s="25">
        <v>0.70833333333333337</v>
      </c>
    </row>
    <row r="138" spans="1:8">
      <c r="A138">
        <v>10132</v>
      </c>
      <c r="B138" t="s">
        <v>28</v>
      </c>
      <c r="C138" t="s">
        <v>59</v>
      </c>
      <c r="D138" s="24">
        <v>47768495</v>
      </c>
      <c r="E138" t="s">
        <v>60</v>
      </c>
      <c r="F138" s="28">
        <v>23.73</v>
      </c>
      <c r="G138" t="s">
        <v>57</v>
      </c>
      <c r="H138" s="25">
        <v>0.70625000000000004</v>
      </c>
    </row>
    <row r="139" spans="1:8">
      <c r="A139">
        <v>10133</v>
      </c>
      <c r="B139" t="s">
        <v>58</v>
      </c>
      <c r="C139" t="s">
        <v>55</v>
      </c>
      <c r="D139" s="24">
        <v>74154714</v>
      </c>
      <c r="E139" t="s">
        <v>56</v>
      </c>
      <c r="F139" s="28">
        <v>19.96</v>
      </c>
      <c r="G139" t="s">
        <v>61</v>
      </c>
      <c r="H139" s="25">
        <v>0.70138888888888884</v>
      </c>
    </row>
    <row r="140" spans="1:8">
      <c r="A140">
        <v>10134</v>
      </c>
      <c r="B140" t="s">
        <v>28</v>
      </c>
      <c r="C140" t="s">
        <v>59</v>
      </c>
      <c r="D140" s="24">
        <v>33525138</v>
      </c>
      <c r="E140" t="s">
        <v>56</v>
      </c>
      <c r="F140" s="28">
        <v>20.75</v>
      </c>
      <c r="G140" t="s">
        <v>57</v>
      </c>
      <c r="H140" s="25">
        <v>0.62638888888888888</v>
      </c>
    </row>
    <row r="141" spans="1:8">
      <c r="A141">
        <v>10135</v>
      </c>
      <c r="B141" t="s">
        <v>19</v>
      </c>
      <c r="C141" t="s">
        <v>55</v>
      </c>
      <c r="D141" s="24">
        <v>84542864</v>
      </c>
      <c r="E141" t="s">
        <v>56</v>
      </c>
      <c r="F141" s="28">
        <v>22.37</v>
      </c>
      <c r="G141" t="s">
        <v>57</v>
      </c>
      <c r="H141" s="25">
        <v>0.33888888888888885</v>
      </c>
    </row>
    <row r="142" spans="1:8">
      <c r="A142">
        <v>10136</v>
      </c>
      <c r="B142" t="s">
        <v>58</v>
      </c>
      <c r="C142" t="s">
        <v>59</v>
      </c>
      <c r="D142" s="24">
        <v>24537107</v>
      </c>
      <c r="E142" t="s">
        <v>60</v>
      </c>
      <c r="F142" s="28">
        <v>24.03</v>
      </c>
      <c r="G142" t="s">
        <v>57</v>
      </c>
      <c r="H142" s="25">
        <v>0.4680555555555555</v>
      </c>
    </row>
    <row r="143" spans="1:8">
      <c r="A143">
        <v>10137</v>
      </c>
      <c r="B143" t="s">
        <v>58</v>
      </c>
      <c r="C143" t="s">
        <v>59</v>
      </c>
      <c r="D143" s="24">
        <v>74241899</v>
      </c>
      <c r="E143" t="s">
        <v>56</v>
      </c>
      <c r="F143" s="28">
        <v>24.59</v>
      </c>
      <c r="G143" t="s">
        <v>57</v>
      </c>
      <c r="H143" s="25">
        <v>0.16944444444444443</v>
      </c>
    </row>
    <row r="144" spans="1:8">
      <c r="A144">
        <v>10138</v>
      </c>
      <c r="B144" t="s">
        <v>58</v>
      </c>
      <c r="C144" t="s">
        <v>55</v>
      </c>
      <c r="D144" s="24">
        <v>33200655</v>
      </c>
      <c r="E144" t="s">
        <v>60</v>
      </c>
      <c r="F144" s="28">
        <v>155.91</v>
      </c>
      <c r="G144" t="s">
        <v>61</v>
      </c>
      <c r="H144" s="25">
        <v>0.77638888888888891</v>
      </c>
    </row>
    <row r="145" spans="1:8">
      <c r="A145">
        <v>10139</v>
      </c>
      <c r="B145" t="s">
        <v>28</v>
      </c>
      <c r="C145" t="s">
        <v>59</v>
      </c>
      <c r="D145" s="24">
        <v>89349547</v>
      </c>
      <c r="E145" t="s">
        <v>60</v>
      </c>
      <c r="F145" s="28">
        <v>16.43</v>
      </c>
      <c r="G145" t="s">
        <v>61</v>
      </c>
      <c r="H145" s="25">
        <v>0.38124999999999998</v>
      </c>
    </row>
    <row r="146" spans="1:8">
      <c r="A146">
        <v>10140</v>
      </c>
      <c r="B146" t="s">
        <v>19</v>
      </c>
      <c r="C146" t="s">
        <v>55</v>
      </c>
      <c r="D146" s="24">
        <v>83528887</v>
      </c>
      <c r="E146" t="s">
        <v>56</v>
      </c>
      <c r="F146" s="28">
        <v>15.71</v>
      </c>
      <c r="G146" t="s">
        <v>61</v>
      </c>
      <c r="H146" s="25">
        <v>0.6972222222222223</v>
      </c>
    </row>
    <row r="147" spans="1:8">
      <c r="A147">
        <v>10141</v>
      </c>
      <c r="B147" t="s">
        <v>58</v>
      </c>
      <c r="C147" t="s">
        <v>55</v>
      </c>
      <c r="D147" s="24">
        <v>21113649</v>
      </c>
      <c r="E147" t="s">
        <v>56</v>
      </c>
      <c r="F147" s="28">
        <v>15.19</v>
      </c>
      <c r="G147" t="s">
        <v>61</v>
      </c>
      <c r="H147" s="25">
        <v>0.68194444444444446</v>
      </c>
    </row>
    <row r="148" spans="1:8">
      <c r="A148">
        <v>10142</v>
      </c>
      <c r="B148" t="s">
        <v>58</v>
      </c>
      <c r="C148" t="s">
        <v>55</v>
      </c>
      <c r="D148" s="24">
        <v>35126822</v>
      </c>
      <c r="E148" t="s">
        <v>56</v>
      </c>
      <c r="F148" s="28">
        <v>21.35</v>
      </c>
      <c r="G148" t="s">
        <v>57</v>
      </c>
      <c r="H148" s="25">
        <v>0.74583333333333324</v>
      </c>
    </row>
    <row r="149" spans="1:8">
      <c r="A149">
        <v>10143</v>
      </c>
      <c r="B149" t="s">
        <v>58</v>
      </c>
      <c r="C149" t="s">
        <v>59</v>
      </c>
      <c r="D149" s="24">
        <v>98692914</v>
      </c>
      <c r="E149" t="s">
        <v>56</v>
      </c>
      <c r="F149" s="28">
        <v>19.47</v>
      </c>
      <c r="G149" t="s">
        <v>57</v>
      </c>
      <c r="H149" s="25">
        <v>0.76180555555555562</v>
      </c>
    </row>
    <row r="150" spans="1:8">
      <c r="A150">
        <v>10144</v>
      </c>
      <c r="B150" t="s">
        <v>58</v>
      </c>
      <c r="C150" t="s">
        <v>59</v>
      </c>
      <c r="D150" s="24">
        <v>96105789</v>
      </c>
      <c r="E150" t="s">
        <v>56</v>
      </c>
      <c r="F150" s="28">
        <v>21.49</v>
      </c>
      <c r="G150" t="s">
        <v>57</v>
      </c>
      <c r="H150" s="25">
        <v>0.38124999999999998</v>
      </c>
    </row>
    <row r="151" spans="1:8">
      <c r="A151">
        <v>10145</v>
      </c>
      <c r="B151" t="s">
        <v>28</v>
      </c>
      <c r="C151" t="s">
        <v>55</v>
      </c>
      <c r="D151" s="24">
        <v>72991138</v>
      </c>
      <c r="E151" t="s">
        <v>56</v>
      </c>
      <c r="F151" s="28">
        <v>22.2</v>
      </c>
      <c r="G151" t="s">
        <v>57</v>
      </c>
      <c r="H151" s="25">
        <v>0.52013888888888882</v>
      </c>
    </row>
    <row r="152" spans="1:8">
      <c r="A152">
        <v>10146</v>
      </c>
      <c r="B152" t="s">
        <v>28</v>
      </c>
      <c r="C152" t="s">
        <v>55</v>
      </c>
      <c r="D152" s="24">
        <v>77775458</v>
      </c>
      <c r="E152" t="s">
        <v>56</v>
      </c>
      <c r="F152" s="28">
        <v>21.15</v>
      </c>
      <c r="G152" t="s">
        <v>57</v>
      </c>
      <c r="H152" s="25">
        <v>0.29652777777777778</v>
      </c>
    </row>
    <row r="153" spans="1:8">
      <c r="A153">
        <v>10147</v>
      </c>
      <c r="B153" t="s">
        <v>28</v>
      </c>
      <c r="C153" t="s">
        <v>59</v>
      </c>
      <c r="D153" s="24">
        <v>71420485</v>
      </c>
      <c r="E153" t="s">
        <v>56</v>
      </c>
      <c r="F153" s="28">
        <v>15.16</v>
      </c>
      <c r="G153" t="s">
        <v>57</v>
      </c>
      <c r="H153" s="25">
        <v>0.47152777777777777</v>
      </c>
    </row>
    <row r="154" spans="1:8">
      <c r="A154">
        <v>10148</v>
      </c>
      <c r="B154" t="s">
        <v>28</v>
      </c>
      <c r="C154" t="s">
        <v>59</v>
      </c>
      <c r="D154" s="24">
        <v>55498553</v>
      </c>
      <c r="E154" t="s">
        <v>60</v>
      </c>
      <c r="F154" s="28">
        <v>15.71</v>
      </c>
      <c r="G154" t="s">
        <v>61</v>
      </c>
      <c r="H154" s="25">
        <v>0.38124999999999998</v>
      </c>
    </row>
    <row r="155" spans="1:8">
      <c r="A155">
        <v>10149</v>
      </c>
      <c r="B155" t="s">
        <v>58</v>
      </c>
      <c r="C155" t="s">
        <v>55</v>
      </c>
      <c r="D155" s="24">
        <v>93904863</v>
      </c>
      <c r="E155" t="s">
        <v>56</v>
      </c>
      <c r="F155" s="28">
        <v>24.65</v>
      </c>
      <c r="G155" t="s">
        <v>61</v>
      </c>
      <c r="H155" s="25">
        <v>0.8618055555555556</v>
      </c>
    </row>
    <row r="156" spans="1:8">
      <c r="A156">
        <v>10150</v>
      </c>
      <c r="B156" t="s">
        <v>58</v>
      </c>
      <c r="C156" t="s">
        <v>55</v>
      </c>
      <c r="D156" s="24">
        <v>37998977</v>
      </c>
      <c r="E156" t="s">
        <v>60</v>
      </c>
      <c r="F156" s="28">
        <v>24.88</v>
      </c>
      <c r="G156" t="s">
        <v>61</v>
      </c>
      <c r="H156" s="25">
        <v>0.64097222222222217</v>
      </c>
    </row>
    <row r="157" spans="1:8">
      <c r="A157">
        <v>10151</v>
      </c>
      <c r="B157" t="s">
        <v>28</v>
      </c>
      <c r="C157" t="s">
        <v>55</v>
      </c>
      <c r="D157" s="24">
        <v>24697741</v>
      </c>
      <c r="E157" t="s">
        <v>60</v>
      </c>
      <c r="F157" s="28">
        <v>17.489999999999998</v>
      </c>
      <c r="G157" t="s">
        <v>61</v>
      </c>
      <c r="H157" s="25">
        <v>0.90694444444444444</v>
      </c>
    </row>
    <row r="158" spans="1:8">
      <c r="A158">
        <v>10152</v>
      </c>
      <c r="B158" t="s">
        <v>58</v>
      </c>
      <c r="C158" t="s">
        <v>59</v>
      </c>
      <c r="D158" s="24">
        <v>77906388</v>
      </c>
      <c r="E158" t="s">
        <v>56</v>
      </c>
      <c r="F158" s="28">
        <v>19.71</v>
      </c>
      <c r="G158" t="s">
        <v>57</v>
      </c>
      <c r="H158" s="25">
        <v>0.29652777777777778</v>
      </c>
    </row>
    <row r="159" spans="1:8">
      <c r="A159">
        <v>10153</v>
      </c>
      <c r="B159" t="s">
        <v>19</v>
      </c>
      <c r="C159" t="s">
        <v>59</v>
      </c>
      <c r="D159" s="24">
        <v>79915334</v>
      </c>
      <c r="E159" t="s">
        <v>56</v>
      </c>
      <c r="F159" s="28">
        <v>17.329999999999998</v>
      </c>
      <c r="G159" t="s">
        <v>61</v>
      </c>
      <c r="H159" s="25">
        <v>8.4722222222222213E-2</v>
      </c>
    </row>
    <row r="160" spans="1:8">
      <c r="A160">
        <v>10154</v>
      </c>
      <c r="B160" t="s">
        <v>58</v>
      </c>
      <c r="C160" t="s">
        <v>59</v>
      </c>
      <c r="D160" s="24">
        <v>50624253</v>
      </c>
      <c r="E160" t="s">
        <v>56</v>
      </c>
      <c r="F160" s="28">
        <v>15.56</v>
      </c>
      <c r="G160" t="s">
        <v>57</v>
      </c>
      <c r="H160" s="25">
        <v>0.87986111111111109</v>
      </c>
    </row>
    <row r="161" spans="1:8">
      <c r="A161">
        <v>10155</v>
      </c>
      <c r="B161" t="s">
        <v>28</v>
      </c>
      <c r="C161" t="s">
        <v>59</v>
      </c>
      <c r="D161" s="24">
        <v>32851119</v>
      </c>
      <c r="E161" t="s">
        <v>56</v>
      </c>
      <c r="F161" s="28">
        <v>18.940000000000001</v>
      </c>
      <c r="G161" t="s">
        <v>57</v>
      </c>
      <c r="H161" s="25">
        <v>0.83333333333333337</v>
      </c>
    </row>
    <row r="162" spans="1:8">
      <c r="A162">
        <v>10156</v>
      </c>
      <c r="B162" t="s">
        <v>27</v>
      </c>
      <c r="C162" t="s">
        <v>59</v>
      </c>
      <c r="D162" s="24">
        <v>79812666</v>
      </c>
      <c r="E162" t="s">
        <v>56</v>
      </c>
      <c r="F162" s="28">
        <v>22.86</v>
      </c>
      <c r="G162" t="s">
        <v>61</v>
      </c>
      <c r="H162" s="25">
        <v>0.66805555555555562</v>
      </c>
    </row>
    <row r="163" spans="1:8">
      <c r="A163">
        <v>10157</v>
      </c>
      <c r="B163" t="s">
        <v>19</v>
      </c>
      <c r="C163" t="s">
        <v>55</v>
      </c>
      <c r="D163" s="24">
        <v>45319579</v>
      </c>
      <c r="E163" t="s">
        <v>56</v>
      </c>
      <c r="F163" s="28">
        <v>15.18</v>
      </c>
      <c r="G163" t="s">
        <v>61</v>
      </c>
      <c r="H163" s="25">
        <v>0.25416666666666665</v>
      </c>
    </row>
    <row r="164" spans="1:8">
      <c r="A164">
        <v>10158</v>
      </c>
      <c r="B164" t="s">
        <v>19</v>
      </c>
      <c r="C164" t="s">
        <v>59</v>
      </c>
      <c r="D164" s="24">
        <v>44466808</v>
      </c>
      <c r="E164" t="s">
        <v>56</v>
      </c>
      <c r="F164" s="28">
        <v>22.46</v>
      </c>
      <c r="G164" t="s">
        <v>61</v>
      </c>
      <c r="H164" s="25">
        <v>0.73888888888888893</v>
      </c>
    </row>
    <row r="165" spans="1:8">
      <c r="A165">
        <v>10159</v>
      </c>
      <c r="B165" t="s">
        <v>58</v>
      </c>
      <c r="C165" t="s">
        <v>59</v>
      </c>
      <c r="D165" s="24">
        <v>26950438</v>
      </c>
      <c r="E165" t="s">
        <v>60</v>
      </c>
      <c r="F165" s="28">
        <v>21.39</v>
      </c>
      <c r="G165" t="s">
        <v>61</v>
      </c>
      <c r="H165" s="25">
        <v>0.72013888888888899</v>
      </c>
    </row>
    <row r="166" spans="1:8">
      <c r="A166">
        <v>10160</v>
      </c>
      <c r="B166" t="s">
        <v>19</v>
      </c>
      <c r="C166" t="s">
        <v>59</v>
      </c>
      <c r="D166" s="24">
        <v>66610830</v>
      </c>
      <c r="E166" t="s">
        <v>60</v>
      </c>
      <c r="F166" s="28">
        <v>22.17</v>
      </c>
      <c r="G166" t="s">
        <v>57</v>
      </c>
      <c r="H166" s="25">
        <v>0.43263888888888885</v>
      </c>
    </row>
    <row r="167" spans="1:8">
      <c r="A167">
        <v>10161</v>
      </c>
      <c r="B167" t="s">
        <v>27</v>
      </c>
      <c r="C167" t="s">
        <v>55</v>
      </c>
      <c r="D167" s="24">
        <v>45496161</v>
      </c>
      <c r="E167" t="s">
        <v>56</v>
      </c>
      <c r="F167" s="28">
        <v>234.63</v>
      </c>
      <c r="G167" t="s">
        <v>61</v>
      </c>
      <c r="H167" s="25">
        <v>0.38124999999999998</v>
      </c>
    </row>
    <row r="168" spans="1:8">
      <c r="A168">
        <v>10162</v>
      </c>
      <c r="B168" t="s">
        <v>27</v>
      </c>
      <c r="C168" t="s">
        <v>55</v>
      </c>
      <c r="D168" s="24">
        <v>57085887</v>
      </c>
      <c r="E168" t="s">
        <v>56</v>
      </c>
      <c r="F168" s="28">
        <v>24.97</v>
      </c>
      <c r="G168" t="s">
        <v>61</v>
      </c>
      <c r="H168" s="25">
        <v>0.9243055555555556</v>
      </c>
    </row>
    <row r="169" spans="1:8">
      <c r="A169">
        <v>10163</v>
      </c>
      <c r="B169" t="s">
        <v>58</v>
      </c>
      <c r="C169" t="s">
        <v>59</v>
      </c>
      <c r="D169" s="24">
        <v>86987062</v>
      </c>
      <c r="E169" t="s">
        <v>56</v>
      </c>
      <c r="F169" s="28">
        <v>15.72</v>
      </c>
      <c r="G169" t="s">
        <v>61</v>
      </c>
      <c r="H169" s="25">
        <v>0.45347222222222222</v>
      </c>
    </row>
    <row r="170" spans="1:8">
      <c r="A170">
        <v>10164</v>
      </c>
      <c r="B170" t="s">
        <v>28</v>
      </c>
      <c r="C170" t="s">
        <v>59</v>
      </c>
      <c r="D170" s="24">
        <v>75029194</v>
      </c>
      <c r="E170" t="s">
        <v>56</v>
      </c>
      <c r="F170" s="28">
        <v>24.35</v>
      </c>
      <c r="G170" t="s">
        <v>61</v>
      </c>
      <c r="H170" s="25">
        <v>0.33888888888888885</v>
      </c>
    </row>
    <row r="171" spans="1:8">
      <c r="A171">
        <v>10165</v>
      </c>
      <c r="B171" t="s">
        <v>58</v>
      </c>
      <c r="C171" t="s">
        <v>55</v>
      </c>
      <c r="D171" s="24">
        <v>16712886</v>
      </c>
      <c r="E171" t="s">
        <v>60</v>
      </c>
      <c r="F171" s="28">
        <v>16.09</v>
      </c>
      <c r="G171" t="s">
        <v>61</v>
      </c>
      <c r="H171" s="25">
        <v>0.33888888888888885</v>
      </c>
    </row>
    <row r="172" spans="1:8">
      <c r="A172">
        <v>10166</v>
      </c>
      <c r="B172" t="s">
        <v>58</v>
      </c>
      <c r="C172" t="s">
        <v>59</v>
      </c>
      <c r="D172" s="24">
        <v>39307303</v>
      </c>
      <c r="E172" t="s">
        <v>56</v>
      </c>
      <c r="F172" s="28">
        <v>23.51</v>
      </c>
      <c r="G172" t="s">
        <v>61</v>
      </c>
      <c r="H172" s="25">
        <v>0.6791666666666667</v>
      </c>
    </row>
    <row r="173" spans="1:8">
      <c r="A173">
        <v>10167</v>
      </c>
      <c r="B173" t="s">
        <v>27</v>
      </c>
      <c r="C173" t="s">
        <v>55</v>
      </c>
      <c r="D173" s="24">
        <v>41334963</v>
      </c>
      <c r="E173" t="s">
        <v>56</v>
      </c>
      <c r="F173" s="28">
        <v>22.59</v>
      </c>
      <c r="G173" t="s">
        <v>61</v>
      </c>
      <c r="H173" s="25">
        <v>0.70208333333333339</v>
      </c>
    </row>
    <row r="174" spans="1:8">
      <c r="A174">
        <v>10168</v>
      </c>
      <c r="B174" t="s">
        <v>28</v>
      </c>
      <c r="C174" t="s">
        <v>59</v>
      </c>
      <c r="D174" s="24">
        <v>58630343</v>
      </c>
      <c r="E174" t="s">
        <v>56</v>
      </c>
      <c r="F174" s="28">
        <v>15.59</v>
      </c>
      <c r="G174" t="s">
        <v>57</v>
      </c>
      <c r="H174" s="25">
        <v>0.38124999999999998</v>
      </c>
    </row>
    <row r="175" spans="1:8">
      <c r="A175">
        <v>10169</v>
      </c>
      <c r="B175" t="s">
        <v>58</v>
      </c>
      <c r="C175" t="s">
        <v>59</v>
      </c>
      <c r="D175" s="24">
        <v>87184105</v>
      </c>
      <c r="E175" t="s">
        <v>56</v>
      </c>
      <c r="F175" s="28">
        <v>190.81</v>
      </c>
      <c r="G175" t="s">
        <v>61</v>
      </c>
      <c r="H175" s="25">
        <v>0.9145833333333333</v>
      </c>
    </row>
    <row r="176" spans="1:8">
      <c r="A176">
        <v>10170</v>
      </c>
      <c r="B176" t="s">
        <v>58</v>
      </c>
      <c r="C176" t="s">
        <v>55</v>
      </c>
      <c r="D176" s="24">
        <v>35358631</v>
      </c>
      <c r="E176" t="s">
        <v>56</v>
      </c>
      <c r="F176" s="28">
        <v>21.12</v>
      </c>
      <c r="G176" t="s">
        <v>61</v>
      </c>
      <c r="H176" s="25">
        <v>0.69444444444444453</v>
      </c>
    </row>
    <row r="177" spans="1:8">
      <c r="A177">
        <v>10171</v>
      </c>
      <c r="B177" t="s">
        <v>27</v>
      </c>
      <c r="C177" t="s">
        <v>59</v>
      </c>
      <c r="D177" s="24">
        <v>55749730</v>
      </c>
      <c r="E177" t="s">
        <v>56</v>
      </c>
      <c r="F177" s="28">
        <v>24.6</v>
      </c>
      <c r="G177" t="s">
        <v>57</v>
      </c>
      <c r="H177" s="25">
        <v>0.85972222222222217</v>
      </c>
    </row>
    <row r="178" spans="1:8">
      <c r="A178">
        <v>10172</v>
      </c>
      <c r="B178" t="s">
        <v>27</v>
      </c>
      <c r="C178" t="s">
        <v>55</v>
      </c>
      <c r="D178" s="24">
        <v>62374456</v>
      </c>
      <c r="E178" t="s">
        <v>56</v>
      </c>
      <c r="F178" s="28">
        <v>21.22</v>
      </c>
      <c r="G178" t="s">
        <v>57</v>
      </c>
      <c r="H178" s="25">
        <v>0.51388888888888895</v>
      </c>
    </row>
    <row r="179" spans="1:8">
      <c r="A179">
        <v>10173</v>
      </c>
      <c r="B179" t="s">
        <v>58</v>
      </c>
      <c r="C179" t="s">
        <v>59</v>
      </c>
      <c r="D179" s="24">
        <v>84556568</v>
      </c>
      <c r="E179" t="s">
        <v>56</v>
      </c>
      <c r="F179" s="28">
        <v>21.78</v>
      </c>
      <c r="G179" t="s">
        <v>57</v>
      </c>
      <c r="H179" s="25">
        <v>0.29652777777777778</v>
      </c>
    </row>
    <row r="180" spans="1:8">
      <c r="A180">
        <v>10174</v>
      </c>
      <c r="B180" t="s">
        <v>58</v>
      </c>
      <c r="C180" t="s">
        <v>59</v>
      </c>
      <c r="D180" s="24">
        <v>57605353</v>
      </c>
      <c r="E180" t="s">
        <v>56</v>
      </c>
      <c r="F180" s="28">
        <v>16.54</v>
      </c>
      <c r="G180" t="s">
        <v>57</v>
      </c>
      <c r="H180" s="25">
        <v>0.74444444444444446</v>
      </c>
    </row>
    <row r="181" spans="1:8">
      <c r="A181">
        <v>10175</v>
      </c>
      <c r="B181" t="s">
        <v>28</v>
      </c>
      <c r="C181" t="s">
        <v>59</v>
      </c>
      <c r="D181" s="24">
        <v>45033697</v>
      </c>
      <c r="E181" t="s">
        <v>60</v>
      </c>
      <c r="F181" s="28">
        <v>177.32</v>
      </c>
      <c r="G181" t="s">
        <v>61</v>
      </c>
      <c r="H181" s="25">
        <v>0.66111111111111109</v>
      </c>
    </row>
    <row r="182" spans="1:8">
      <c r="A182">
        <v>10176</v>
      </c>
      <c r="B182" t="s">
        <v>19</v>
      </c>
      <c r="C182" t="s">
        <v>59</v>
      </c>
      <c r="D182" s="24">
        <v>33917941</v>
      </c>
      <c r="E182" t="s">
        <v>56</v>
      </c>
      <c r="F182" s="28">
        <v>21.5</v>
      </c>
      <c r="G182" t="s">
        <v>61</v>
      </c>
      <c r="H182" s="25">
        <v>0.45347222222222222</v>
      </c>
    </row>
    <row r="183" spans="1:8">
      <c r="A183">
        <v>10177</v>
      </c>
      <c r="B183" t="s">
        <v>58</v>
      </c>
      <c r="C183" t="s">
        <v>55</v>
      </c>
      <c r="D183" s="24">
        <v>39654675</v>
      </c>
      <c r="E183" t="s">
        <v>56</v>
      </c>
      <c r="F183" s="28">
        <v>24.65</v>
      </c>
      <c r="G183" t="s">
        <v>57</v>
      </c>
      <c r="H183" s="25">
        <v>0.86458333333333337</v>
      </c>
    </row>
    <row r="184" spans="1:8">
      <c r="A184">
        <v>10178</v>
      </c>
      <c r="B184" t="s">
        <v>27</v>
      </c>
      <c r="C184" t="s">
        <v>55</v>
      </c>
      <c r="D184" s="24">
        <v>47532285</v>
      </c>
      <c r="E184" t="s">
        <v>56</v>
      </c>
      <c r="F184" s="28">
        <v>19.43</v>
      </c>
      <c r="G184" t="s">
        <v>57</v>
      </c>
      <c r="H184" s="25">
        <v>0.38124999999999998</v>
      </c>
    </row>
    <row r="185" spans="1:8">
      <c r="A185">
        <v>10179</v>
      </c>
      <c r="B185" t="s">
        <v>58</v>
      </c>
      <c r="C185" t="s">
        <v>59</v>
      </c>
      <c r="D185" s="24">
        <v>85998809</v>
      </c>
      <c r="E185" t="s">
        <v>56</v>
      </c>
      <c r="F185" s="28">
        <v>21.12</v>
      </c>
      <c r="G185" t="s">
        <v>57</v>
      </c>
      <c r="H185" s="25">
        <v>0.84236111111111101</v>
      </c>
    </row>
    <row r="186" spans="1:8">
      <c r="A186">
        <v>10180</v>
      </c>
      <c r="B186" t="s">
        <v>58</v>
      </c>
      <c r="C186" t="s">
        <v>59</v>
      </c>
      <c r="D186" s="24">
        <v>34960635</v>
      </c>
      <c r="E186" t="s">
        <v>56</v>
      </c>
      <c r="F186" s="28">
        <v>18.100000000000001</v>
      </c>
      <c r="G186" t="s">
        <v>57</v>
      </c>
      <c r="H186" s="25">
        <v>0.85555555555555562</v>
      </c>
    </row>
    <row r="187" spans="1:8">
      <c r="A187">
        <v>10181</v>
      </c>
      <c r="B187" t="s">
        <v>28</v>
      </c>
      <c r="C187" t="s">
        <v>59</v>
      </c>
      <c r="D187" s="24">
        <v>85117076</v>
      </c>
      <c r="E187" t="s">
        <v>60</v>
      </c>
      <c r="F187" s="28">
        <v>24.4</v>
      </c>
      <c r="G187" t="s">
        <v>61</v>
      </c>
      <c r="H187" s="25">
        <v>0.55902777777777779</v>
      </c>
    </row>
    <row r="188" spans="1:8">
      <c r="A188">
        <v>10182</v>
      </c>
      <c r="B188" t="s">
        <v>19</v>
      </c>
      <c r="C188" t="s">
        <v>59</v>
      </c>
      <c r="D188" s="24">
        <v>67865323</v>
      </c>
      <c r="E188" t="s">
        <v>56</v>
      </c>
      <c r="F188" s="28">
        <v>19.37</v>
      </c>
      <c r="G188" t="s">
        <v>61</v>
      </c>
      <c r="H188" s="25">
        <v>0.90833333333333333</v>
      </c>
    </row>
    <row r="189" spans="1:8">
      <c r="A189">
        <v>10183</v>
      </c>
      <c r="B189" t="s">
        <v>58</v>
      </c>
      <c r="C189" t="s">
        <v>59</v>
      </c>
      <c r="D189" s="24">
        <v>55061563</v>
      </c>
      <c r="E189" t="s">
        <v>60</v>
      </c>
      <c r="F189" s="28">
        <v>19.170000000000002</v>
      </c>
      <c r="G189" t="s">
        <v>57</v>
      </c>
      <c r="H189" s="25">
        <v>0</v>
      </c>
    </row>
    <row r="190" spans="1:8">
      <c r="A190">
        <v>10184</v>
      </c>
      <c r="B190" t="s">
        <v>19</v>
      </c>
      <c r="C190" t="s">
        <v>59</v>
      </c>
      <c r="D190" s="24">
        <v>58022125</v>
      </c>
      <c r="E190" t="s">
        <v>60</v>
      </c>
      <c r="F190" s="28">
        <v>241.77</v>
      </c>
      <c r="G190" t="s">
        <v>61</v>
      </c>
      <c r="H190" s="25">
        <v>0.38124999999999998</v>
      </c>
    </row>
    <row r="191" spans="1:8">
      <c r="A191">
        <v>10185</v>
      </c>
      <c r="B191" t="s">
        <v>58</v>
      </c>
      <c r="C191" t="s">
        <v>55</v>
      </c>
      <c r="D191" s="24">
        <v>25679000</v>
      </c>
      <c r="E191" t="s">
        <v>56</v>
      </c>
      <c r="F191" s="28">
        <v>19.649999999999999</v>
      </c>
      <c r="G191" t="s">
        <v>61</v>
      </c>
      <c r="H191" s="25">
        <v>0.8652777777777777</v>
      </c>
    </row>
    <row r="192" spans="1:8">
      <c r="A192">
        <v>10186</v>
      </c>
      <c r="B192" t="s">
        <v>58</v>
      </c>
      <c r="C192" t="s">
        <v>55</v>
      </c>
      <c r="D192" s="24">
        <v>35078468</v>
      </c>
      <c r="E192" t="s">
        <v>56</v>
      </c>
      <c r="F192" s="28">
        <v>19.88</v>
      </c>
      <c r="G192" t="s">
        <v>61</v>
      </c>
      <c r="H192" s="25">
        <v>0.33888888888888885</v>
      </c>
    </row>
    <row r="193" spans="1:8">
      <c r="A193">
        <v>10187</v>
      </c>
      <c r="B193" t="s">
        <v>58</v>
      </c>
      <c r="C193" t="s">
        <v>55</v>
      </c>
      <c r="D193" s="24">
        <v>75772325</v>
      </c>
      <c r="E193" t="s">
        <v>56</v>
      </c>
      <c r="F193" s="28">
        <v>15.18</v>
      </c>
      <c r="G193" t="s">
        <v>57</v>
      </c>
      <c r="H193" s="25">
        <v>0.52083333333333337</v>
      </c>
    </row>
    <row r="194" spans="1:8">
      <c r="A194">
        <v>10188</v>
      </c>
      <c r="B194" t="s">
        <v>58</v>
      </c>
      <c r="C194" t="s">
        <v>55</v>
      </c>
      <c r="D194" s="24">
        <v>25433486</v>
      </c>
      <c r="E194" t="s">
        <v>56</v>
      </c>
      <c r="F194" s="28">
        <v>15.08</v>
      </c>
      <c r="G194" t="s">
        <v>61</v>
      </c>
      <c r="H194" s="25">
        <v>0.51041666666666663</v>
      </c>
    </row>
    <row r="195" spans="1:8">
      <c r="A195">
        <v>10189</v>
      </c>
      <c r="B195" t="s">
        <v>27</v>
      </c>
      <c r="C195" t="s">
        <v>55</v>
      </c>
      <c r="D195" s="24">
        <v>65056232</v>
      </c>
      <c r="E195" t="s">
        <v>56</v>
      </c>
      <c r="F195" s="28">
        <v>23.74</v>
      </c>
      <c r="G195" t="s">
        <v>61</v>
      </c>
      <c r="H195" s="25">
        <v>0.21180555555555555</v>
      </c>
    </row>
    <row r="196" spans="1:8">
      <c r="A196">
        <v>10190</v>
      </c>
      <c r="B196" t="s">
        <v>27</v>
      </c>
      <c r="C196" t="s">
        <v>59</v>
      </c>
      <c r="D196" s="24">
        <v>96077043</v>
      </c>
      <c r="E196" t="s">
        <v>56</v>
      </c>
      <c r="F196" s="28">
        <v>19.440000000000001</v>
      </c>
      <c r="G196" t="s">
        <v>61</v>
      </c>
      <c r="H196" s="25">
        <v>0.38124999999999998</v>
      </c>
    </row>
    <row r="197" spans="1:8">
      <c r="A197">
        <v>10191</v>
      </c>
      <c r="B197" t="s">
        <v>19</v>
      </c>
      <c r="C197" t="s">
        <v>59</v>
      </c>
      <c r="D197" s="24">
        <v>68380003</v>
      </c>
      <c r="E197" t="s">
        <v>56</v>
      </c>
      <c r="F197" s="28">
        <v>17.7</v>
      </c>
      <c r="G197" t="s">
        <v>57</v>
      </c>
      <c r="H197" s="25">
        <v>8.4722222222222213E-2</v>
      </c>
    </row>
    <row r="198" spans="1:8">
      <c r="A198">
        <v>10192</v>
      </c>
      <c r="B198" t="s">
        <v>58</v>
      </c>
      <c r="C198" t="s">
        <v>59</v>
      </c>
      <c r="D198" s="24">
        <v>92733708</v>
      </c>
      <c r="E198" t="s">
        <v>56</v>
      </c>
      <c r="F198" s="28">
        <v>16.989999999999998</v>
      </c>
      <c r="G198" t="s">
        <v>57</v>
      </c>
      <c r="H198" s="25">
        <v>0.7319444444444444</v>
      </c>
    </row>
    <row r="199" spans="1:8">
      <c r="A199">
        <v>10193</v>
      </c>
      <c r="B199" t="s">
        <v>28</v>
      </c>
      <c r="C199" t="s">
        <v>55</v>
      </c>
      <c r="D199" s="24">
        <v>17547620</v>
      </c>
      <c r="E199" t="s">
        <v>60</v>
      </c>
      <c r="F199" s="28">
        <v>16.13</v>
      </c>
      <c r="G199" t="s">
        <v>61</v>
      </c>
      <c r="H199" s="25">
        <v>0.56736111111111109</v>
      </c>
    </row>
    <row r="200" spans="1:8">
      <c r="A200">
        <v>10194</v>
      </c>
      <c r="B200" t="s">
        <v>58</v>
      </c>
      <c r="C200" t="s">
        <v>55</v>
      </c>
      <c r="D200" s="24">
        <v>95291830</v>
      </c>
      <c r="E200" t="s">
        <v>56</v>
      </c>
      <c r="F200" s="28">
        <v>24.8</v>
      </c>
      <c r="G200" t="s">
        <v>57</v>
      </c>
      <c r="H200" s="25">
        <v>0.85277777777777775</v>
      </c>
    </row>
    <row r="201" spans="1:8">
      <c r="A201">
        <v>10195</v>
      </c>
      <c r="B201" t="s">
        <v>58</v>
      </c>
      <c r="C201" t="s">
        <v>55</v>
      </c>
      <c r="D201" s="24">
        <v>49471722</v>
      </c>
      <c r="E201" t="s">
        <v>56</v>
      </c>
      <c r="F201" s="28">
        <v>17.52</v>
      </c>
      <c r="G201" t="s">
        <v>61</v>
      </c>
      <c r="H201" s="25">
        <v>0.85763888888888884</v>
      </c>
    </row>
    <row r="202" spans="1:8">
      <c r="A202">
        <v>10196</v>
      </c>
      <c r="B202" t="s">
        <v>27</v>
      </c>
      <c r="C202" t="s">
        <v>55</v>
      </c>
      <c r="D202" s="24">
        <v>70336893</v>
      </c>
      <c r="E202" t="s">
        <v>56</v>
      </c>
      <c r="F202" s="28">
        <v>23.63</v>
      </c>
      <c r="G202" t="s">
        <v>61</v>
      </c>
      <c r="H202" s="25">
        <v>0.82430555555555562</v>
      </c>
    </row>
    <row r="203" spans="1:8">
      <c r="A203">
        <v>10197</v>
      </c>
      <c r="B203" t="s">
        <v>58</v>
      </c>
      <c r="C203" t="s">
        <v>59</v>
      </c>
      <c r="D203" s="24">
        <v>44142213</v>
      </c>
      <c r="E203" t="s">
        <v>56</v>
      </c>
      <c r="F203" s="28">
        <v>23.03</v>
      </c>
      <c r="G203" t="s">
        <v>57</v>
      </c>
      <c r="H203" s="25">
        <v>0.4770833333333333</v>
      </c>
    </row>
    <row r="204" spans="1:8">
      <c r="A204">
        <v>10198</v>
      </c>
      <c r="B204" t="s">
        <v>58</v>
      </c>
      <c r="C204" t="s">
        <v>55</v>
      </c>
      <c r="D204" s="24">
        <v>69832322</v>
      </c>
      <c r="E204" t="s">
        <v>56</v>
      </c>
      <c r="F204" s="28">
        <v>21.03</v>
      </c>
      <c r="G204" t="s">
        <v>57</v>
      </c>
      <c r="H204" s="25">
        <v>0.8041666666666667</v>
      </c>
    </row>
    <row r="205" spans="1:8">
      <c r="A205">
        <v>10199</v>
      </c>
      <c r="B205" t="s">
        <v>19</v>
      </c>
      <c r="C205" t="s">
        <v>59</v>
      </c>
      <c r="D205" s="24">
        <v>54284580</v>
      </c>
      <c r="E205" t="s">
        <v>56</v>
      </c>
      <c r="F205" s="28">
        <v>21.88</v>
      </c>
      <c r="G205" t="s">
        <v>61</v>
      </c>
      <c r="H205" s="25">
        <v>0.12708333333333333</v>
      </c>
    </row>
    <row r="206" spans="1:8">
      <c r="A206">
        <v>10200</v>
      </c>
      <c r="B206" t="s">
        <v>19</v>
      </c>
      <c r="C206" t="s">
        <v>59</v>
      </c>
      <c r="D206" s="24">
        <v>69967343</v>
      </c>
      <c r="E206" t="s">
        <v>60</v>
      </c>
      <c r="F206" s="28">
        <v>24.86</v>
      </c>
      <c r="G206" t="s">
        <v>61</v>
      </c>
      <c r="H206" s="25">
        <v>0.7270833333333333</v>
      </c>
    </row>
    <row r="207" spans="1:8">
      <c r="A207">
        <v>10201</v>
      </c>
      <c r="B207" t="s">
        <v>27</v>
      </c>
      <c r="C207" t="s">
        <v>59</v>
      </c>
      <c r="D207" s="24">
        <v>70932816</v>
      </c>
      <c r="E207" t="s">
        <v>60</v>
      </c>
      <c r="F207" s="28">
        <v>21.43</v>
      </c>
      <c r="G207" t="s">
        <v>57</v>
      </c>
      <c r="H207" s="25">
        <v>0.29652777777777778</v>
      </c>
    </row>
    <row r="208" spans="1:8">
      <c r="A208">
        <v>10202</v>
      </c>
      <c r="B208" t="s">
        <v>19</v>
      </c>
      <c r="C208" t="s">
        <v>55</v>
      </c>
      <c r="D208" s="24">
        <v>74082072</v>
      </c>
      <c r="E208" t="s">
        <v>56</v>
      </c>
      <c r="F208" s="28">
        <v>16.32</v>
      </c>
      <c r="G208" t="s">
        <v>57</v>
      </c>
      <c r="H208" s="25">
        <v>0.63124999999999998</v>
      </c>
    </row>
    <row r="209" spans="1:8">
      <c r="A209">
        <v>10203</v>
      </c>
      <c r="B209" t="s">
        <v>28</v>
      </c>
      <c r="C209" t="s">
        <v>59</v>
      </c>
      <c r="D209" s="24">
        <v>92299116</v>
      </c>
      <c r="E209" t="s">
        <v>56</v>
      </c>
      <c r="F209" s="28">
        <v>17.2</v>
      </c>
      <c r="G209" t="s">
        <v>57</v>
      </c>
      <c r="H209" s="25">
        <v>0</v>
      </c>
    </row>
    <row r="210" spans="1:8">
      <c r="A210">
        <v>10204</v>
      </c>
      <c r="B210" t="s">
        <v>27</v>
      </c>
      <c r="C210" t="s">
        <v>55</v>
      </c>
      <c r="D210" s="24">
        <v>33160396</v>
      </c>
      <c r="E210" t="s">
        <v>56</v>
      </c>
      <c r="F210" s="28">
        <v>17.87</v>
      </c>
      <c r="G210" t="s">
        <v>57</v>
      </c>
      <c r="H210" s="25">
        <v>0.29652777777777778</v>
      </c>
    </row>
    <row r="211" spans="1:8">
      <c r="A211">
        <v>10205</v>
      </c>
      <c r="B211" t="s">
        <v>19</v>
      </c>
      <c r="C211" t="s">
        <v>59</v>
      </c>
      <c r="D211" s="24">
        <v>22141389</v>
      </c>
      <c r="E211" t="s">
        <v>56</v>
      </c>
      <c r="F211" s="28">
        <v>17.27</v>
      </c>
      <c r="G211" t="s">
        <v>57</v>
      </c>
      <c r="H211" s="25">
        <v>0.29652777777777778</v>
      </c>
    </row>
    <row r="212" spans="1:8">
      <c r="A212">
        <v>10206</v>
      </c>
      <c r="B212" t="s">
        <v>19</v>
      </c>
      <c r="C212" t="s">
        <v>59</v>
      </c>
      <c r="D212" s="24">
        <v>43297905</v>
      </c>
      <c r="E212" t="s">
        <v>56</v>
      </c>
      <c r="F212" s="28">
        <v>19.760000000000002</v>
      </c>
      <c r="G212" t="s">
        <v>61</v>
      </c>
      <c r="H212" s="25">
        <v>0.88402777777777775</v>
      </c>
    </row>
    <row r="213" spans="1:8">
      <c r="A213">
        <v>10207</v>
      </c>
      <c r="B213" t="s">
        <v>28</v>
      </c>
      <c r="C213" t="s">
        <v>55</v>
      </c>
      <c r="D213" s="24">
        <v>72307242</v>
      </c>
      <c r="E213" t="s">
        <v>56</v>
      </c>
      <c r="F213" s="28">
        <v>17.100000000000001</v>
      </c>
      <c r="G213" t="s">
        <v>61</v>
      </c>
      <c r="H213" s="25">
        <v>0.25416666666666665</v>
      </c>
    </row>
    <row r="214" spans="1:8">
      <c r="A214">
        <v>10208</v>
      </c>
      <c r="B214" t="s">
        <v>58</v>
      </c>
      <c r="C214" t="s">
        <v>59</v>
      </c>
      <c r="D214" s="24">
        <v>66131853</v>
      </c>
      <c r="E214" t="s">
        <v>60</v>
      </c>
      <c r="F214" s="28">
        <v>15.66</v>
      </c>
      <c r="G214" t="s">
        <v>61</v>
      </c>
      <c r="H214" s="25">
        <v>0.47083333333333338</v>
      </c>
    </row>
    <row r="215" spans="1:8">
      <c r="A215">
        <v>10209</v>
      </c>
      <c r="B215" t="s">
        <v>58</v>
      </c>
      <c r="C215" t="s">
        <v>59</v>
      </c>
      <c r="D215" s="24">
        <v>71755916</v>
      </c>
      <c r="E215" t="s">
        <v>56</v>
      </c>
      <c r="F215" s="28">
        <v>22.37</v>
      </c>
      <c r="G215" t="s">
        <v>61</v>
      </c>
      <c r="H215" s="25">
        <v>0.68125000000000002</v>
      </c>
    </row>
    <row r="216" spans="1:8">
      <c r="A216">
        <v>10210</v>
      </c>
      <c r="B216" t="s">
        <v>28</v>
      </c>
      <c r="C216" t="s">
        <v>59</v>
      </c>
      <c r="D216" s="24">
        <v>55102089</v>
      </c>
      <c r="E216" t="s">
        <v>56</v>
      </c>
      <c r="F216" s="28">
        <v>15.81</v>
      </c>
      <c r="G216" t="s">
        <v>57</v>
      </c>
      <c r="H216" s="25">
        <v>0.5180555555555556</v>
      </c>
    </row>
    <row r="217" spans="1:8">
      <c r="A217">
        <v>10211</v>
      </c>
      <c r="B217" t="s">
        <v>19</v>
      </c>
      <c r="C217" t="s">
        <v>59</v>
      </c>
      <c r="D217" s="24">
        <v>25266837</v>
      </c>
      <c r="E217" t="s">
        <v>56</v>
      </c>
      <c r="F217" s="28">
        <v>18.75</v>
      </c>
      <c r="G217" t="s">
        <v>57</v>
      </c>
      <c r="H217" s="25">
        <v>8.4722222222222213E-2</v>
      </c>
    </row>
    <row r="218" spans="1:8">
      <c r="A218">
        <v>10212</v>
      </c>
      <c r="B218" t="s">
        <v>58</v>
      </c>
      <c r="C218" t="s">
        <v>59</v>
      </c>
      <c r="D218" s="24">
        <v>17246696</v>
      </c>
      <c r="E218" t="s">
        <v>60</v>
      </c>
      <c r="F218" s="28">
        <v>192.41</v>
      </c>
      <c r="G218" t="s">
        <v>61</v>
      </c>
      <c r="H218" s="25">
        <v>0.84930555555555554</v>
      </c>
    </row>
    <row r="219" spans="1:8">
      <c r="A219">
        <v>10213</v>
      </c>
      <c r="B219" t="s">
        <v>19</v>
      </c>
      <c r="C219" t="s">
        <v>59</v>
      </c>
      <c r="D219" s="24">
        <v>55149876</v>
      </c>
      <c r="E219" t="s">
        <v>60</v>
      </c>
      <c r="F219" s="28">
        <v>242.52</v>
      </c>
      <c r="G219" t="s">
        <v>61</v>
      </c>
      <c r="H219" s="25">
        <v>0.38124999999999998</v>
      </c>
    </row>
    <row r="220" spans="1:8">
      <c r="A220">
        <v>10214</v>
      </c>
      <c r="B220" t="s">
        <v>27</v>
      </c>
      <c r="C220" t="s">
        <v>59</v>
      </c>
      <c r="D220" s="24">
        <v>66024609</v>
      </c>
      <c r="E220" t="s">
        <v>56</v>
      </c>
      <c r="F220" s="28">
        <v>20.399999999999999</v>
      </c>
      <c r="G220" t="s">
        <v>61</v>
      </c>
      <c r="H220" s="25">
        <v>0</v>
      </c>
    </row>
    <row r="221" spans="1:8">
      <c r="A221">
        <v>10215</v>
      </c>
      <c r="B221" t="s">
        <v>28</v>
      </c>
      <c r="C221" t="s">
        <v>59</v>
      </c>
      <c r="D221" s="24">
        <v>74962881</v>
      </c>
      <c r="E221" t="s">
        <v>56</v>
      </c>
      <c r="F221" s="28">
        <v>24.71</v>
      </c>
      <c r="G221" t="s">
        <v>57</v>
      </c>
      <c r="H221" s="25">
        <v>0.53125</v>
      </c>
    </row>
    <row r="222" spans="1:8">
      <c r="A222">
        <v>10216</v>
      </c>
      <c r="B222" t="s">
        <v>28</v>
      </c>
      <c r="C222" t="s">
        <v>59</v>
      </c>
      <c r="D222" s="24">
        <v>66903731</v>
      </c>
      <c r="E222" t="s">
        <v>56</v>
      </c>
      <c r="F222" s="28">
        <v>21.49</v>
      </c>
      <c r="G222" t="s">
        <v>57</v>
      </c>
      <c r="H222" s="25">
        <v>0.33888888888888885</v>
      </c>
    </row>
    <row r="223" spans="1:8">
      <c r="A223">
        <v>10217</v>
      </c>
      <c r="B223" t="s">
        <v>58</v>
      </c>
      <c r="C223" t="s">
        <v>55</v>
      </c>
      <c r="D223" s="24">
        <v>71026884</v>
      </c>
      <c r="E223" t="s">
        <v>56</v>
      </c>
      <c r="F223" s="28">
        <v>22.26</v>
      </c>
      <c r="G223" t="s">
        <v>57</v>
      </c>
      <c r="H223" s="25">
        <v>0.21180555555555555</v>
      </c>
    </row>
    <row r="224" spans="1:8">
      <c r="A224">
        <v>10218</v>
      </c>
      <c r="B224" t="s">
        <v>58</v>
      </c>
      <c r="C224" t="s">
        <v>59</v>
      </c>
      <c r="D224" s="24">
        <v>86140667</v>
      </c>
      <c r="E224" t="s">
        <v>56</v>
      </c>
      <c r="F224" s="28">
        <v>22.39</v>
      </c>
      <c r="G224" t="s">
        <v>61</v>
      </c>
      <c r="H224" s="25">
        <v>0.6777777777777777</v>
      </c>
    </row>
    <row r="225" spans="1:8">
      <c r="A225">
        <v>10219</v>
      </c>
      <c r="B225" t="s">
        <v>28</v>
      </c>
      <c r="C225" t="s">
        <v>59</v>
      </c>
      <c r="D225" s="24">
        <v>97905965</v>
      </c>
      <c r="E225" t="s">
        <v>60</v>
      </c>
      <c r="F225" s="28">
        <v>21.01</v>
      </c>
      <c r="G225" t="s">
        <v>61</v>
      </c>
      <c r="H225" s="25">
        <v>0.33888888888888885</v>
      </c>
    </row>
    <row r="226" spans="1:8">
      <c r="A226">
        <v>10220</v>
      </c>
      <c r="B226" t="s">
        <v>58</v>
      </c>
      <c r="C226" t="s">
        <v>59</v>
      </c>
      <c r="D226" s="24">
        <v>40197352</v>
      </c>
      <c r="E226" t="s">
        <v>56</v>
      </c>
      <c r="F226" s="28">
        <v>226.15</v>
      </c>
      <c r="G226" t="s">
        <v>61</v>
      </c>
      <c r="H226" s="25">
        <v>0.69513888888888886</v>
      </c>
    </row>
    <row r="227" spans="1:8">
      <c r="A227">
        <v>10221</v>
      </c>
      <c r="B227" t="s">
        <v>58</v>
      </c>
      <c r="C227" t="s">
        <v>55</v>
      </c>
      <c r="D227" s="24">
        <v>43741856</v>
      </c>
      <c r="E227" t="s">
        <v>56</v>
      </c>
      <c r="F227" s="28">
        <v>20.67</v>
      </c>
      <c r="G227" t="s">
        <v>61</v>
      </c>
      <c r="H227" s="25">
        <v>0.81041666666666667</v>
      </c>
    </row>
    <row r="228" spans="1:8">
      <c r="A228">
        <v>10222</v>
      </c>
      <c r="B228" t="s">
        <v>58</v>
      </c>
      <c r="C228" t="s">
        <v>59</v>
      </c>
      <c r="D228" s="24">
        <v>78186031</v>
      </c>
      <c r="E228" t="s">
        <v>56</v>
      </c>
      <c r="F228" s="28">
        <v>21.72</v>
      </c>
      <c r="G228" t="s">
        <v>57</v>
      </c>
      <c r="H228" s="25">
        <v>0.83611111111111114</v>
      </c>
    </row>
    <row r="229" spans="1:8">
      <c r="A229">
        <v>10223</v>
      </c>
      <c r="B229" t="s">
        <v>28</v>
      </c>
      <c r="C229" t="s">
        <v>59</v>
      </c>
      <c r="D229" s="24">
        <v>58045939</v>
      </c>
      <c r="E229" t="s">
        <v>60</v>
      </c>
      <c r="F229" s="28">
        <v>16.34</v>
      </c>
      <c r="G229" t="s">
        <v>61</v>
      </c>
      <c r="H229" s="25">
        <v>0.74513888888888891</v>
      </c>
    </row>
    <row r="230" spans="1:8">
      <c r="A230">
        <v>10224</v>
      </c>
      <c r="B230" t="s">
        <v>58</v>
      </c>
      <c r="C230" t="s">
        <v>59</v>
      </c>
      <c r="D230" s="24">
        <v>16151482</v>
      </c>
      <c r="E230" t="s">
        <v>56</v>
      </c>
      <c r="F230" s="28">
        <v>19.190000000000001</v>
      </c>
      <c r="G230" t="s">
        <v>61</v>
      </c>
      <c r="H230" s="25">
        <v>0.79722222222222217</v>
      </c>
    </row>
    <row r="231" spans="1:8">
      <c r="A231">
        <v>10225</v>
      </c>
      <c r="B231" t="s">
        <v>58</v>
      </c>
      <c r="C231" t="s">
        <v>59</v>
      </c>
      <c r="D231" s="24">
        <v>16578164</v>
      </c>
      <c r="E231" t="s">
        <v>60</v>
      </c>
      <c r="F231" s="28">
        <v>19.21</v>
      </c>
      <c r="G231" t="s">
        <v>57</v>
      </c>
      <c r="H231" s="25">
        <v>8.4722222222222213E-2</v>
      </c>
    </row>
    <row r="232" spans="1:8">
      <c r="A232">
        <v>10226</v>
      </c>
      <c r="B232" t="s">
        <v>58</v>
      </c>
      <c r="C232" t="s">
        <v>59</v>
      </c>
      <c r="D232" s="24">
        <v>96323938</v>
      </c>
      <c r="E232" t="s">
        <v>56</v>
      </c>
      <c r="F232" s="28">
        <v>16.059999999999999</v>
      </c>
      <c r="G232" t="s">
        <v>61</v>
      </c>
      <c r="H232" s="25">
        <v>0.72916666666666663</v>
      </c>
    </row>
    <row r="233" spans="1:8">
      <c r="A233">
        <v>10227</v>
      </c>
      <c r="B233" t="s">
        <v>19</v>
      </c>
      <c r="C233" t="s">
        <v>55</v>
      </c>
      <c r="D233" s="24">
        <v>77228031</v>
      </c>
      <c r="E233" t="s">
        <v>56</v>
      </c>
      <c r="F233" s="28">
        <v>20.87</v>
      </c>
      <c r="G233" t="s">
        <v>57</v>
      </c>
      <c r="H233" s="25">
        <v>0.57013888888888886</v>
      </c>
    </row>
    <row r="234" spans="1:8">
      <c r="A234">
        <v>10228</v>
      </c>
      <c r="B234" t="s">
        <v>58</v>
      </c>
      <c r="C234" t="s">
        <v>59</v>
      </c>
      <c r="D234" s="24">
        <v>10779898</v>
      </c>
      <c r="E234" t="s">
        <v>56</v>
      </c>
      <c r="F234" s="28">
        <v>15.33</v>
      </c>
      <c r="G234" t="s">
        <v>57</v>
      </c>
      <c r="H234" s="25">
        <v>0.21180555555555555</v>
      </c>
    </row>
    <row r="235" spans="1:8">
      <c r="A235">
        <v>10229</v>
      </c>
      <c r="B235" t="s">
        <v>58</v>
      </c>
      <c r="C235" t="s">
        <v>59</v>
      </c>
      <c r="D235" s="24">
        <v>85174502</v>
      </c>
      <c r="E235" t="s">
        <v>56</v>
      </c>
      <c r="F235" s="28">
        <v>23.58</v>
      </c>
      <c r="G235" t="s">
        <v>57</v>
      </c>
      <c r="H235" s="25">
        <v>8.4722222222222213E-2</v>
      </c>
    </row>
    <row r="236" spans="1:8">
      <c r="A236">
        <v>10230</v>
      </c>
      <c r="B236" t="s">
        <v>27</v>
      </c>
      <c r="C236" t="s">
        <v>59</v>
      </c>
      <c r="D236" s="24">
        <v>73359370</v>
      </c>
      <c r="E236" t="s">
        <v>60</v>
      </c>
      <c r="F236" s="28">
        <v>15.34</v>
      </c>
      <c r="G236" t="s">
        <v>61</v>
      </c>
      <c r="H236" s="25">
        <v>0.42222222222222222</v>
      </c>
    </row>
    <row r="237" spans="1:8">
      <c r="A237">
        <v>10231</v>
      </c>
      <c r="B237" t="s">
        <v>27</v>
      </c>
      <c r="C237" t="s">
        <v>55</v>
      </c>
      <c r="D237" s="24">
        <v>10400774</v>
      </c>
      <c r="E237" t="s">
        <v>56</v>
      </c>
      <c r="F237" s="28">
        <v>216.2</v>
      </c>
      <c r="G237" t="s">
        <v>61</v>
      </c>
      <c r="H237" s="25">
        <v>0.43958333333333338</v>
      </c>
    </row>
    <row r="238" spans="1:8">
      <c r="A238">
        <v>10232</v>
      </c>
      <c r="B238" t="s">
        <v>28</v>
      </c>
      <c r="C238" t="s">
        <v>59</v>
      </c>
      <c r="D238" s="24">
        <v>69035250</v>
      </c>
      <c r="E238" t="s">
        <v>60</v>
      </c>
      <c r="F238" s="28">
        <v>21.85</v>
      </c>
      <c r="G238" t="s">
        <v>57</v>
      </c>
      <c r="H238" s="25">
        <v>0.60277777777777775</v>
      </c>
    </row>
    <row r="239" spans="1:8">
      <c r="A239">
        <v>10233</v>
      </c>
      <c r="B239" t="s">
        <v>58</v>
      </c>
      <c r="C239" t="s">
        <v>59</v>
      </c>
      <c r="D239" s="24">
        <v>45792515</v>
      </c>
      <c r="E239" t="s">
        <v>56</v>
      </c>
      <c r="F239" s="28">
        <v>23.59</v>
      </c>
      <c r="G239" t="s">
        <v>61</v>
      </c>
      <c r="H239" s="25">
        <v>0.12708333333333333</v>
      </c>
    </row>
    <row r="240" spans="1:8">
      <c r="A240">
        <v>10234</v>
      </c>
      <c r="B240" t="s">
        <v>27</v>
      </c>
      <c r="C240" t="s">
        <v>55</v>
      </c>
      <c r="D240" s="24">
        <v>28433265</v>
      </c>
      <c r="E240" t="s">
        <v>56</v>
      </c>
      <c r="F240" s="28">
        <v>20.440000000000001</v>
      </c>
      <c r="G240" t="s">
        <v>61</v>
      </c>
      <c r="H240" s="25">
        <v>0.49444444444444446</v>
      </c>
    </row>
    <row r="241" spans="1:8">
      <c r="A241">
        <v>10235</v>
      </c>
      <c r="B241" t="s">
        <v>28</v>
      </c>
      <c r="C241" t="s">
        <v>59</v>
      </c>
      <c r="D241" s="24">
        <v>55311936</v>
      </c>
      <c r="E241" t="s">
        <v>56</v>
      </c>
      <c r="F241" s="28">
        <v>22.05</v>
      </c>
      <c r="G241" t="s">
        <v>57</v>
      </c>
      <c r="H241" s="25">
        <v>0.33888888888888885</v>
      </c>
    </row>
    <row r="242" spans="1:8">
      <c r="A242">
        <v>10236</v>
      </c>
      <c r="B242" t="s">
        <v>58</v>
      </c>
      <c r="C242" t="s">
        <v>55</v>
      </c>
      <c r="D242" s="24">
        <v>64115201</v>
      </c>
      <c r="E242" t="s">
        <v>60</v>
      </c>
      <c r="F242" s="28">
        <v>20.420000000000002</v>
      </c>
      <c r="G242" t="s">
        <v>61</v>
      </c>
      <c r="H242" s="25">
        <v>0</v>
      </c>
    </row>
    <row r="243" spans="1:8">
      <c r="A243">
        <v>10237</v>
      </c>
      <c r="B243" t="s">
        <v>58</v>
      </c>
      <c r="C243" t="s">
        <v>59</v>
      </c>
      <c r="D243" s="24">
        <v>66071683</v>
      </c>
      <c r="E243" t="s">
        <v>60</v>
      </c>
      <c r="F243" s="28">
        <v>20.49</v>
      </c>
      <c r="G243" t="s">
        <v>57</v>
      </c>
      <c r="H243" s="25">
        <v>0.84027777777777779</v>
      </c>
    </row>
    <row r="244" spans="1:8">
      <c r="A244">
        <v>10238</v>
      </c>
      <c r="B244" t="s">
        <v>58</v>
      </c>
      <c r="C244" t="s">
        <v>59</v>
      </c>
      <c r="D244" s="24">
        <v>97687340</v>
      </c>
      <c r="E244" t="s">
        <v>56</v>
      </c>
      <c r="F244" s="28">
        <v>161.46</v>
      </c>
      <c r="G244" t="s">
        <v>61</v>
      </c>
      <c r="H244" s="25">
        <v>0.59930555555555554</v>
      </c>
    </row>
    <row r="245" spans="1:8">
      <c r="A245">
        <v>10239</v>
      </c>
      <c r="B245" t="s">
        <v>19</v>
      </c>
      <c r="C245" t="s">
        <v>55</v>
      </c>
      <c r="D245" s="24">
        <v>41078038</v>
      </c>
      <c r="E245" t="s">
        <v>56</v>
      </c>
      <c r="F245" s="28">
        <v>19.690000000000001</v>
      </c>
      <c r="G245" t="s">
        <v>57</v>
      </c>
      <c r="H245" s="25">
        <v>0.16944444444444443</v>
      </c>
    </row>
    <row r="246" spans="1:8">
      <c r="A246">
        <v>10240</v>
      </c>
      <c r="B246" t="s">
        <v>19</v>
      </c>
      <c r="C246" t="s">
        <v>55</v>
      </c>
      <c r="D246" s="24">
        <v>55142477</v>
      </c>
      <c r="E246" t="s">
        <v>56</v>
      </c>
      <c r="F246" s="28">
        <v>24.16</v>
      </c>
      <c r="G246" t="s">
        <v>61</v>
      </c>
      <c r="H246" s="25">
        <v>8.4722222222222213E-2</v>
      </c>
    </row>
    <row r="247" spans="1:8">
      <c r="A247">
        <v>10241</v>
      </c>
      <c r="B247" t="s">
        <v>28</v>
      </c>
      <c r="C247" t="s">
        <v>59</v>
      </c>
      <c r="D247" s="24">
        <v>41419462</v>
      </c>
      <c r="E247" t="s">
        <v>56</v>
      </c>
      <c r="F247" s="28">
        <v>22.8</v>
      </c>
      <c r="G247" t="s">
        <v>57</v>
      </c>
      <c r="H247" s="25">
        <v>0.45763888888888887</v>
      </c>
    </row>
    <row r="248" spans="1:8">
      <c r="A248">
        <v>10242</v>
      </c>
      <c r="B248" t="s">
        <v>28</v>
      </c>
      <c r="C248" t="s">
        <v>55</v>
      </c>
      <c r="D248" s="24">
        <v>39303323</v>
      </c>
      <c r="E248" t="s">
        <v>56</v>
      </c>
      <c r="F248" s="28">
        <v>243.7</v>
      </c>
      <c r="G248" t="s">
        <v>61</v>
      </c>
      <c r="H248" s="25">
        <v>0.85138888888888886</v>
      </c>
    </row>
    <row r="249" spans="1:8">
      <c r="A249">
        <v>10243</v>
      </c>
      <c r="B249" t="s">
        <v>58</v>
      </c>
      <c r="C249" t="s">
        <v>55</v>
      </c>
      <c r="D249" s="24">
        <v>95949085</v>
      </c>
      <c r="E249" t="s">
        <v>56</v>
      </c>
      <c r="F249" s="28">
        <v>210.38</v>
      </c>
      <c r="G249" t="s">
        <v>61</v>
      </c>
      <c r="H249" s="25">
        <v>0.5131944444444444</v>
      </c>
    </row>
    <row r="250" spans="1:8">
      <c r="A250">
        <v>10244</v>
      </c>
      <c r="B250" t="s">
        <v>58</v>
      </c>
      <c r="C250" t="s">
        <v>55</v>
      </c>
      <c r="D250" s="24">
        <v>28911817</v>
      </c>
      <c r="E250" t="s">
        <v>60</v>
      </c>
      <c r="F250" s="28">
        <v>161.5</v>
      </c>
      <c r="G250" t="s">
        <v>61</v>
      </c>
      <c r="H250" s="25">
        <v>0.67708333333333337</v>
      </c>
    </row>
    <row r="251" spans="1:8">
      <c r="A251">
        <v>10245</v>
      </c>
      <c r="B251" t="s">
        <v>19</v>
      </c>
      <c r="C251" t="s">
        <v>59</v>
      </c>
      <c r="D251" s="24">
        <v>36561487</v>
      </c>
      <c r="E251" t="s">
        <v>60</v>
      </c>
      <c r="F251" s="28">
        <v>21.92</v>
      </c>
      <c r="G251" t="s">
        <v>57</v>
      </c>
      <c r="H251" s="25">
        <v>0.25416666666666665</v>
      </c>
    </row>
    <row r="252" spans="1:8">
      <c r="A252">
        <v>10246</v>
      </c>
      <c r="B252" t="s">
        <v>58</v>
      </c>
      <c r="C252" t="s">
        <v>59</v>
      </c>
      <c r="D252" s="24">
        <v>71502183</v>
      </c>
      <c r="E252" t="s">
        <v>56</v>
      </c>
      <c r="F252" s="28">
        <v>23.75</v>
      </c>
      <c r="G252" t="s">
        <v>57</v>
      </c>
      <c r="H252" s="25">
        <v>0.8569444444444444</v>
      </c>
    </row>
    <row r="253" spans="1:8">
      <c r="A253">
        <v>10247</v>
      </c>
      <c r="B253" t="s">
        <v>58</v>
      </c>
      <c r="C253" t="s">
        <v>59</v>
      </c>
      <c r="D253" s="24">
        <v>54077093</v>
      </c>
      <c r="E253" t="s">
        <v>60</v>
      </c>
      <c r="F253" s="28">
        <v>23.74</v>
      </c>
      <c r="G253" t="s">
        <v>57</v>
      </c>
      <c r="H253" s="25">
        <v>0.12708333333333333</v>
      </c>
    </row>
    <row r="254" spans="1:8">
      <c r="A254">
        <v>10248</v>
      </c>
      <c r="B254" t="s">
        <v>58</v>
      </c>
      <c r="C254" t="s">
        <v>55</v>
      </c>
      <c r="D254" s="24">
        <v>92266350</v>
      </c>
      <c r="E254" t="s">
        <v>56</v>
      </c>
      <c r="F254" s="28">
        <v>21.67</v>
      </c>
      <c r="G254" t="s">
        <v>61</v>
      </c>
      <c r="H254" s="25">
        <v>0.52847222222222223</v>
      </c>
    </row>
    <row r="255" spans="1:8">
      <c r="A255">
        <v>10249</v>
      </c>
      <c r="B255" t="s">
        <v>58</v>
      </c>
      <c r="C255" t="s">
        <v>55</v>
      </c>
      <c r="D255" s="24">
        <v>60490288</v>
      </c>
      <c r="E255" t="s">
        <v>60</v>
      </c>
      <c r="F255" s="28">
        <v>22.04</v>
      </c>
      <c r="G255" t="s">
        <v>61</v>
      </c>
      <c r="H255" s="25">
        <v>0.12708333333333333</v>
      </c>
    </row>
    <row r="256" spans="1:8">
      <c r="A256">
        <v>10250</v>
      </c>
      <c r="B256" t="s">
        <v>27</v>
      </c>
      <c r="C256" t="s">
        <v>55</v>
      </c>
      <c r="D256" s="24">
        <v>72701137</v>
      </c>
      <c r="E256" t="s">
        <v>60</v>
      </c>
      <c r="F256" s="28">
        <v>17.829999999999998</v>
      </c>
      <c r="G256" t="s">
        <v>57</v>
      </c>
      <c r="H256" s="25">
        <v>0.53819444444444442</v>
      </c>
    </row>
    <row r="257" spans="1:8">
      <c r="A257">
        <v>10251</v>
      </c>
      <c r="B257" t="s">
        <v>19</v>
      </c>
      <c r="C257" t="s">
        <v>55</v>
      </c>
      <c r="D257" s="24">
        <v>32435141</v>
      </c>
      <c r="E257" t="s">
        <v>56</v>
      </c>
      <c r="F257" s="28">
        <v>23.6</v>
      </c>
      <c r="G257" t="s">
        <v>61</v>
      </c>
      <c r="H257" s="25">
        <v>8.4722222222222213E-2</v>
      </c>
    </row>
    <row r="258" spans="1:8">
      <c r="A258">
        <v>10252</v>
      </c>
      <c r="B258" t="s">
        <v>27</v>
      </c>
      <c r="C258" t="s">
        <v>59</v>
      </c>
      <c r="D258" s="24">
        <v>48330352</v>
      </c>
      <c r="E258" t="s">
        <v>56</v>
      </c>
      <c r="F258" s="28">
        <v>19.899999999999999</v>
      </c>
      <c r="G258" t="s">
        <v>61</v>
      </c>
      <c r="H258" s="25">
        <v>0.58611111111111114</v>
      </c>
    </row>
    <row r="259" spans="1:8">
      <c r="A259">
        <v>10253</v>
      </c>
      <c r="B259" t="s">
        <v>28</v>
      </c>
      <c r="C259" t="s">
        <v>59</v>
      </c>
      <c r="D259" s="24">
        <v>17689891</v>
      </c>
      <c r="E259" t="s">
        <v>60</v>
      </c>
      <c r="F259" s="28">
        <v>209.2</v>
      </c>
      <c r="G259" t="s">
        <v>61</v>
      </c>
      <c r="H259" s="25">
        <v>0.72152777777777777</v>
      </c>
    </row>
    <row r="260" spans="1:8">
      <c r="A260">
        <v>10254</v>
      </c>
      <c r="B260" t="s">
        <v>28</v>
      </c>
      <c r="C260" t="s">
        <v>59</v>
      </c>
      <c r="D260" s="24">
        <v>67182932</v>
      </c>
      <c r="E260" t="s">
        <v>60</v>
      </c>
      <c r="F260" s="29">
        <v>24</v>
      </c>
      <c r="G260" t="s">
        <v>61</v>
      </c>
      <c r="H260" s="25">
        <v>0.49444444444444446</v>
      </c>
    </row>
    <row r="261" spans="1:8">
      <c r="A261">
        <v>10255</v>
      </c>
      <c r="B261" t="s">
        <v>58</v>
      </c>
      <c r="C261" t="s">
        <v>59</v>
      </c>
      <c r="D261" s="24">
        <v>97950489</v>
      </c>
      <c r="E261" t="s">
        <v>56</v>
      </c>
      <c r="F261" s="28">
        <v>17.809999999999999</v>
      </c>
      <c r="G261" t="s">
        <v>61</v>
      </c>
      <c r="H261" s="25">
        <v>0.52500000000000002</v>
      </c>
    </row>
    <row r="262" spans="1:8">
      <c r="A262">
        <v>10256</v>
      </c>
      <c r="B262" t="s">
        <v>58</v>
      </c>
      <c r="C262" t="s">
        <v>55</v>
      </c>
      <c r="D262" s="24">
        <v>50561229</v>
      </c>
      <c r="E262" t="s">
        <v>60</v>
      </c>
      <c r="F262" s="28">
        <v>24.77</v>
      </c>
      <c r="G262" t="s">
        <v>57</v>
      </c>
      <c r="H262" s="25">
        <v>0</v>
      </c>
    </row>
    <row r="263" spans="1:8">
      <c r="A263">
        <v>10257</v>
      </c>
      <c r="B263" t="s">
        <v>28</v>
      </c>
      <c r="C263" t="s">
        <v>59</v>
      </c>
      <c r="D263" s="24">
        <v>70759248</v>
      </c>
      <c r="E263" t="s">
        <v>56</v>
      </c>
      <c r="F263" s="29">
        <v>21</v>
      </c>
      <c r="G263" t="s">
        <v>57</v>
      </c>
      <c r="H263" s="25">
        <v>0.71805555555555556</v>
      </c>
    </row>
    <row r="264" spans="1:8">
      <c r="A264">
        <v>10258</v>
      </c>
      <c r="B264" t="s">
        <v>27</v>
      </c>
      <c r="C264" t="s">
        <v>55</v>
      </c>
      <c r="D264" s="24">
        <v>77616151</v>
      </c>
      <c r="E264" t="s">
        <v>56</v>
      </c>
      <c r="F264" s="28">
        <v>191.43</v>
      </c>
      <c r="G264" t="s">
        <v>61</v>
      </c>
      <c r="H264" s="25">
        <v>0.69166666666666676</v>
      </c>
    </row>
    <row r="265" spans="1:8">
      <c r="A265">
        <v>10259</v>
      </c>
      <c r="B265" t="s">
        <v>19</v>
      </c>
      <c r="C265" t="s">
        <v>55</v>
      </c>
      <c r="D265" s="24">
        <v>79551499</v>
      </c>
      <c r="E265" t="s">
        <v>56</v>
      </c>
      <c r="F265" s="28">
        <v>24.52</v>
      </c>
      <c r="G265" t="s">
        <v>57</v>
      </c>
      <c r="H265" s="25">
        <v>0.9159722222222223</v>
      </c>
    </row>
    <row r="266" spans="1:8">
      <c r="A266">
        <v>10260</v>
      </c>
      <c r="B266" t="s">
        <v>28</v>
      </c>
      <c r="C266" t="s">
        <v>59</v>
      </c>
      <c r="D266" s="24">
        <v>90656731</v>
      </c>
      <c r="E266" t="s">
        <v>56</v>
      </c>
      <c r="F266" s="28">
        <v>17.34</v>
      </c>
      <c r="G266" t="s">
        <v>57</v>
      </c>
      <c r="H266" s="25">
        <v>0.33888888888888885</v>
      </c>
    </row>
    <row r="267" spans="1:8">
      <c r="A267">
        <v>10261</v>
      </c>
      <c r="B267" t="s">
        <v>28</v>
      </c>
      <c r="C267" t="s">
        <v>55</v>
      </c>
      <c r="D267" s="24">
        <v>33909737</v>
      </c>
      <c r="E267" t="s">
        <v>56</v>
      </c>
      <c r="F267" s="28">
        <v>17.190000000000001</v>
      </c>
      <c r="G267" t="s">
        <v>61</v>
      </c>
      <c r="H267" s="25">
        <v>0.12708333333333333</v>
      </c>
    </row>
    <row r="268" spans="1:8">
      <c r="A268">
        <v>10262</v>
      </c>
      <c r="B268" t="s">
        <v>58</v>
      </c>
      <c r="C268" t="s">
        <v>59</v>
      </c>
      <c r="D268" s="24">
        <v>63841931</v>
      </c>
      <c r="E268" t="s">
        <v>56</v>
      </c>
      <c r="F268" s="28">
        <v>22.55</v>
      </c>
      <c r="G268" t="s">
        <v>61</v>
      </c>
      <c r="H268" s="25">
        <v>0.48819444444444443</v>
      </c>
    </row>
    <row r="269" spans="1:8">
      <c r="A269">
        <v>10263</v>
      </c>
      <c r="B269" t="s">
        <v>19</v>
      </c>
      <c r="C269" t="s">
        <v>59</v>
      </c>
      <c r="D269" s="24">
        <v>30506370</v>
      </c>
      <c r="E269" t="s">
        <v>56</v>
      </c>
      <c r="F269" s="28">
        <v>15.35</v>
      </c>
      <c r="G269" t="s">
        <v>57</v>
      </c>
      <c r="H269" s="25">
        <v>0.42708333333333331</v>
      </c>
    </row>
    <row r="270" spans="1:8">
      <c r="A270">
        <v>10264</v>
      </c>
      <c r="B270" t="s">
        <v>19</v>
      </c>
      <c r="C270" t="s">
        <v>59</v>
      </c>
      <c r="D270" s="24">
        <v>81572757</v>
      </c>
      <c r="E270" t="s">
        <v>56</v>
      </c>
      <c r="F270" s="28">
        <v>23.2</v>
      </c>
      <c r="G270" t="s">
        <v>61</v>
      </c>
      <c r="H270" s="25">
        <v>0.65138888888888891</v>
      </c>
    </row>
    <row r="271" spans="1:8">
      <c r="A271">
        <v>10265</v>
      </c>
      <c r="B271" t="s">
        <v>58</v>
      </c>
      <c r="C271" t="s">
        <v>59</v>
      </c>
      <c r="D271" s="24">
        <v>70596149</v>
      </c>
      <c r="E271" t="s">
        <v>56</v>
      </c>
      <c r="F271" s="28">
        <v>241.65</v>
      </c>
      <c r="G271" t="s">
        <v>61</v>
      </c>
      <c r="H271" s="25">
        <v>0.86041666666666661</v>
      </c>
    </row>
    <row r="272" spans="1:8">
      <c r="A272">
        <v>10266</v>
      </c>
      <c r="B272" t="s">
        <v>58</v>
      </c>
      <c r="C272" t="s">
        <v>55</v>
      </c>
      <c r="D272" s="24">
        <v>95125046</v>
      </c>
      <c r="E272" t="s">
        <v>60</v>
      </c>
      <c r="F272" s="28">
        <v>242.4</v>
      </c>
      <c r="G272" t="s">
        <v>61</v>
      </c>
      <c r="H272" s="25">
        <v>0.72152777777777777</v>
      </c>
    </row>
    <row r="273" spans="1:8">
      <c r="A273">
        <v>10267</v>
      </c>
      <c r="B273" t="s">
        <v>58</v>
      </c>
      <c r="C273" t="s">
        <v>55</v>
      </c>
      <c r="D273" s="24">
        <v>10754185</v>
      </c>
      <c r="E273" t="s">
        <v>56</v>
      </c>
      <c r="F273" s="28">
        <v>23.01</v>
      </c>
      <c r="G273" t="s">
        <v>57</v>
      </c>
      <c r="H273" s="25">
        <v>0.73888888888888893</v>
      </c>
    </row>
    <row r="274" spans="1:8">
      <c r="A274">
        <v>10268</v>
      </c>
      <c r="B274" t="s">
        <v>28</v>
      </c>
      <c r="C274" t="s">
        <v>59</v>
      </c>
      <c r="D274" s="24">
        <v>88506060</v>
      </c>
      <c r="E274" t="s">
        <v>60</v>
      </c>
      <c r="F274" s="28">
        <v>17.22</v>
      </c>
      <c r="G274" t="s">
        <v>57</v>
      </c>
      <c r="H274" s="25">
        <v>4.2361111111111106E-2</v>
      </c>
    </row>
    <row r="275" spans="1:8">
      <c r="A275">
        <v>10269</v>
      </c>
      <c r="B275" t="s">
        <v>27</v>
      </c>
      <c r="C275" t="s">
        <v>55</v>
      </c>
      <c r="D275" s="24">
        <v>80319080</v>
      </c>
      <c r="E275" t="s">
        <v>56</v>
      </c>
      <c r="F275" s="28">
        <v>15.96</v>
      </c>
      <c r="G275" t="s">
        <v>57</v>
      </c>
      <c r="H275" s="25">
        <v>4.2361111111111106E-2</v>
      </c>
    </row>
    <row r="276" spans="1:8">
      <c r="A276">
        <v>10270</v>
      </c>
      <c r="B276" t="s">
        <v>28</v>
      </c>
      <c r="C276" t="s">
        <v>59</v>
      </c>
      <c r="D276" s="24">
        <v>27016365</v>
      </c>
      <c r="E276" t="s">
        <v>56</v>
      </c>
      <c r="F276" s="28">
        <v>15.45</v>
      </c>
      <c r="G276" t="s">
        <v>57</v>
      </c>
      <c r="H276" s="25">
        <v>0.38124999999999998</v>
      </c>
    </row>
    <row r="277" spans="1:8">
      <c r="A277">
        <v>10271</v>
      </c>
      <c r="B277" t="s">
        <v>27</v>
      </c>
      <c r="C277" t="s">
        <v>59</v>
      </c>
      <c r="D277" s="24">
        <v>80034508</v>
      </c>
      <c r="E277" t="s">
        <v>60</v>
      </c>
      <c r="F277" s="28">
        <v>17.41</v>
      </c>
      <c r="G277" t="s">
        <v>57</v>
      </c>
      <c r="H277" s="25">
        <v>0.21180555555555555</v>
      </c>
    </row>
    <row r="278" spans="1:8">
      <c r="A278">
        <v>10272</v>
      </c>
      <c r="B278" t="s">
        <v>28</v>
      </c>
      <c r="C278" t="s">
        <v>59</v>
      </c>
      <c r="D278" s="24">
        <v>76677689</v>
      </c>
      <c r="E278" t="s">
        <v>56</v>
      </c>
      <c r="F278" s="28">
        <v>21.64</v>
      </c>
      <c r="G278" t="s">
        <v>61</v>
      </c>
      <c r="H278" s="25">
        <v>0.44374999999999998</v>
      </c>
    </row>
    <row r="279" spans="1:8">
      <c r="A279">
        <v>10273</v>
      </c>
      <c r="B279" t="s">
        <v>19</v>
      </c>
      <c r="C279" t="s">
        <v>59</v>
      </c>
      <c r="D279" s="24">
        <v>96855830</v>
      </c>
      <c r="E279" t="s">
        <v>56</v>
      </c>
      <c r="F279" s="28">
        <v>157.86000000000001</v>
      </c>
      <c r="G279" t="s">
        <v>61</v>
      </c>
      <c r="H279" s="25">
        <v>0.21180555555555555</v>
      </c>
    </row>
    <row r="280" spans="1:8">
      <c r="A280">
        <v>10274</v>
      </c>
      <c r="B280" t="s">
        <v>58</v>
      </c>
      <c r="C280" t="s">
        <v>55</v>
      </c>
      <c r="D280" s="24">
        <v>54775836</v>
      </c>
      <c r="E280" t="s">
        <v>56</v>
      </c>
      <c r="F280" s="28">
        <v>18.170000000000002</v>
      </c>
      <c r="G280" t="s">
        <v>57</v>
      </c>
      <c r="H280" s="25">
        <v>0.67291666666666661</v>
      </c>
    </row>
    <row r="281" spans="1:8">
      <c r="A281">
        <v>10275</v>
      </c>
      <c r="B281" t="s">
        <v>58</v>
      </c>
      <c r="C281" t="s">
        <v>59</v>
      </c>
      <c r="D281" s="24">
        <v>18066842</v>
      </c>
      <c r="E281" t="s">
        <v>56</v>
      </c>
      <c r="F281" s="28">
        <v>18.73</v>
      </c>
      <c r="G281" t="s">
        <v>61</v>
      </c>
      <c r="H281" s="25">
        <v>0.84583333333333333</v>
      </c>
    </row>
    <row r="282" spans="1:8">
      <c r="A282">
        <v>10276</v>
      </c>
      <c r="B282" t="s">
        <v>58</v>
      </c>
      <c r="C282" t="s">
        <v>55</v>
      </c>
      <c r="D282" s="24">
        <v>28240563</v>
      </c>
      <c r="E282" t="s">
        <v>56</v>
      </c>
      <c r="F282" s="28">
        <v>17.239999999999998</v>
      </c>
      <c r="G282" t="s">
        <v>61</v>
      </c>
      <c r="H282" s="25">
        <v>0.86597222222222225</v>
      </c>
    </row>
    <row r="283" spans="1:8">
      <c r="A283">
        <v>10277</v>
      </c>
      <c r="B283" t="s">
        <v>19</v>
      </c>
      <c r="C283" t="s">
        <v>59</v>
      </c>
      <c r="D283" s="24">
        <v>24796034</v>
      </c>
      <c r="E283" t="s">
        <v>56</v>
      </c>
      <c r="F283" s="28">
        <v>23.91</v>
      </c>
      <c r="G283" t="s">
        <v>57</v>
      </c>
      <c r="H283" s="25">
        <v>0.58263888888888882</v>
      </c>
    </row>
    <row r="284" spans="1:8">
      <c r="A284">
        <v>10278</v>
      </c>
      <c r="B284" t="s">
        <v>19</v>
      </c>
      <c r="C284" t="s">
        <v>59</v>
      </c>
      <c r="D284" s="24">
        <v>60979466</v>
      </c>
      <c r="E284" t="s">
        <v>56</v>
      </c>
      <c r="F284" s="28">
        <v>22.12</v>
      </c>
      <c r="G284" t="s">
        <v>61</v>
      </c>
      <c r="H284" s="25">
        <v>0.72986111111111107</v>
      </c>
    </row>
    <row r="285" spans="1:8">
      <c r="A285">
        <v>10279</v>
      </c>
      <c r="B285" t="s">
        <v>58</v>
      </c>
      <c r="C285" t="s">
        <v>59</v>
      </c>
      <c r="D285" s="24">
        <v>44558261</v>
      </c>
      <c r="E285" t="s">
        <v>56</v>
      </c>
      <c r="F285" s="28">
        <v>15.25</v>
      </c>
      <c r="G285" t="s">
        <v>57</v>
      </c>
      <c r="H285" s="25">
        <v>0.7993055555555556</v>
      </c>
    </row>
    <row r="286" spans="1:8">
      <c r="A286">
        <v>10280</v>
      </c>
      <c r="B286" t="s">
        <v>19</v>
      </c>
      <c r="C286" t="s">
        <v>59</v>
      </c>
      <c r="D286" s="24">
        <v>49683597</v>
      </c>
      <c r="E286" t="s">
        <v>56</v>
      </c>
      <c r="F286" s="28">
        <v>24.77</v>
      </c>
      <c r="G286" t="s">
        <v>61</v>
      </c>
      <c r="H286" s="25">
        <v>0</v>
      </c>
    </row>
    <row r="287" spans="1:8">
      <c r="A287">
        <v>10281</v>
      </c>
      <c r="B287" t="s">
        <v>58</v>
      </c>
      <c r="C287" t="s">
        <v>55</v>
      </c>
      <c r="D287" s="24">
        <v>70748780</v>
      </c>
      <c r="E287" t="s">
        <v>60</v>
      </c>
      <c r="F287" s="28">
        <v>20.28</v>
      </c>
      <c r="G287" t="s">
        <v>61</v>
      </c>
      <c r="H287" s="25">
        <v>0.25416666666666665</v>
      </c>
    </row>
    <row r="288" spans="1:8">
      <c r="A288">
        <v>10282</v>
      </c>
      <c r="B288" t="s">
        <v>19</v>
      </c>
      <c r="C288" t="s">
        <v>55</v>
      </c>
      <c r="D288" s="24">
        <v>80637514</v>
      </c>
      <c r="E288" t="s">
        <v>60</v>
      </c>
      <c r="F288" s="28">
        <v>20.329999999999998</v>
      </c>
      <c r="G288" t="s">
        <v>57</v>
      </c>
      <c r="H288" s="25">
        <v>0.33888888888888885</v>
      </c>
    </row>
    <row r="289" spans="1:8">
      <c r="A289">
        <v>10283</v>
      </c>
      <c r="B289" t="s">
        <v>19</v>
      </c>
      <c r="C289" t="s">
        <v>59</v>
      </c>
      <c r="D289" s="24">
        <v>77963353</v>
      </c>
      <c r="E289" t="s">
        <v>56</v>
      </c>
      <c r="F289" s="28">
        <v>16.899999999999999</v>
      </c>
      <c r="G289" t="s">
        <v>61</v>
      </c>
      <c r="H289" s="25">
        <v>0.90347222222222223</v>
      </c>
    </row>
    <row r="290" spans="1:8">
      <c r="A290">
        <v>10284</v>
      </c>
      <c r="B290" t="s">
        <v>19</v>
      </c>
      <c r="C290" t="s">
        <v>55</v>
      </c>
      <c r="D290" s="24">
        <v>55003920</v>
      </c>
      <c r="E290" t="s">
        <v>56</v>
      </c>
      <c r="F290" s="28">
        <v>16.47</v>
      </c>
      <c r="G290" t="s">
        <v>61</v>
      </c>
      <c r="H290" s="25">
        <v>0.68194444444444446</v>
      </c>
    </row>
    <row r="291" spans="1:8">
      <c r="A291">
        <v>10285</v>
      </c>
      <c r="B291" t="s">
        <v>58</v>
      </c>
      <c r="C291" t="s">
        <v>55</v>
      </c>
      <c r="D291" s="24">
        <v>66231568</v>
      </c>
      <c r="E291" t="s">
        <v>56</v>
      </c>
      <c r="F291" s="28">
        <v>21.18</v>
      </c>
      <c r="G291" t="s">
        <v>61</v>
      </c>
      <c r="H291" s="25">
        <v>0.63194444444444442</v>
      </c>
    </row>
    <row r="292" spans="1:8">
      <c r="A292">
        <v>10286</v>
      </c>
      <c r="B292" t="s">
        <v>58</v>
      </c>
      <c r="C292" t="s">
        <v>59</v>
      </c>
      <c r="D292" s="24">
        <v>49290839</v>
      </c>
      <c r="E292" t="s">
        <v>56</v>
      </c>
      <c r="F292" s="28">
        <v>15.86</v>
      </c>
      <c r="G292" t="s">
        <v>61</v>
      </c>
      <c r="H292" s="25">
        <v>0.75</v>
      </c>
    </row>
    <row r="293" spans="1:8">
      <c r="A293">
        <v>10287</v>
      </c>
      <c r="B293" t="s">
        <v>58</v>
      </c>
      <c r="C293" t="s">
        <v>59</v>
      </c>
      <c r="D293" s="24">
        <v>65745301</v>
      </c>
      <c r="E293" t="s">
        <v>56</v>
      </c>
      <c r="F293" s="28">
        <v>24.42</v>
      </c>
      <c r="G293" t="s">
        <v>61</v>
      </c>
      <c r="H293" s="25">
        <v>4.2361111111111106E-2</v>
      </c>
    </row>
    <row r="294" spans="1:8">
      <c r="A294">
        <v>10288</v>
      </c>
      <c r="B294" t="s">
        <v>19</v>
      </c>
      <c r="C294" t="s">
        <v>55</v>
      </c>
      <c r="D294" s="24">
        <v>18744208</v>
      </c>
      <c r="E294" t="s">
        <v>56</v>
      </c>
      <c r="F294" s="28">
        <v>222.38</v>
      </c>
      <c r="G294" t="s">
        <v>61</v>
      </c>
      <c r="H294" s="25">
        <v>0.78680555555555554</v>
      </c>
    </row>
    <row r="295" spans="1:8">
      <c r="A295">
        <v>10289</v>
      </c>
      <c r="B295" t="s">
        <v>19</v>
      </c>
      <c r="C295" t="s">
        <v>55</v>
      </c>
      <c r="D295" s="24">
        <v>52683186</v>
      </c>
      <c r="E295" t="s">
        <v>56</v>
      </c>
      <c r="F295" s="28">
        <v>188.85</v>
      </c>
      <c r="G295" t="s">
        <v>61</v>
      </c>
      <c r="H295" s="25">
        <v>0.21180555555555555</v>
      </c>
    </row>
    <row r="296" spans="1:8">
      <c r="A296">
        <v>10290</v>
      </c>
      <c r="B296" t="s">
        <v>28</v>
      </c>
      <c r="C296" t="s">
        <v>59</v>
      </c>
      <c r="D296" s="24">
        <v>87677897</v>
      </c>
      <c r="E296" t="s">
        <v>56</v>
      </c>
      <c r="F296" s="28">
        <v>15.32</v>
      </c>
      <c r="G296" t="s">
        <v>61</v>
      </c>
      <c r="H296" s="25">
        <v>0.38124999999999998</v>
      </c>
    </row>
    <row r="297" spans="1:8">
      <c r="A297">
        <v>10291</v>
      </c>
      <c r="B297" t="s">
        <v>58</v>
      </c>
      <c r="C297" t="s">
        <v>59</v>
      </c>
      <c r="D297" s="24">
        <v>78943440</v>
      </c>
      <c r="E297" t="s">
        <v>60</v>
      </c>
      <c r="F297" s="28">
        <v>24.71</v>
      </c>
      <c r="G297" t="s">
        <v>61</v>
      </c>
      <c r="H297" s="25">
        <v>0.68194444444444446</v>
      </c>
    </row>
    <row r="298" spans="1:8">
      <c r="A298">
        <v>10292</v>
      </c>
      <c r="B298" t="s">
        <v>28</v>
      </c>
      <c r="C298" t="s">
        <v>59</v>
      </c>
      <c r="D298" s="24">
        <v>92175770</v>
      </c>
      <c r="E298" t="s">
        <v>56</v>
      </c>
      <c r="F298" s="28">
        <v>20.97</v>
      </c>
      <c r="G298" t="s">
        <v>61</v>
      </c>
      <c r="H298" s="25">
        <v>0.47013888888888888</v>
      </c>
    </row>
    <row r="299" spans="1:8">
      <c r="A299">
        <v>10293</v>
      </c>
      <c r="B299" t="s">
        <v>58</v>
      </c>
      <c r="C299" t="s">
        <v>59</v>
      </c>
      <c r="D299" s="24">
        <v>32571506</v>
      </c>
      <c r="E299" t="s">
        <v>60</v>
      </c>
      <c r="F299" s="28">
        <v>21.92</v>
      </c>
      <c r="G299" t="s">
        <v>57</v>
      </c>
      <c r="H299" s="25">
        <v>0.80347222222222225</v>
      </c>
    </row>
    <row r="300" spans="1:8">
      <c r="A300">
        <v>10294</v>
      </c>
      <c r="B300" t="s">
        <v>58</v>
      </c>
      <c r="C300" t="s">
        <v>55</v>
      </c>
      <c r="D300" s="24">
        <v>11427628</v>
      </c>
      <c r="E300" t="s">
        <v>56</v>
      </c>
      <c r="F300" s="28">
        <v>15.4</v>
      </c>
      <c r="G300" t="s">
        <v>61</v>
      </c>
      <c r="H300" s="25">
        <v>0.71944444444444444</v>
      </c>
    </row>
    <row r="301" spans="1:8">
      <c r="A301">
        <v>10295</v>
      </c>
      <c r="B301" t="s">
        <v>28</v>
      </c>
      <c r="C301" t="s">
        <v>59</v>
      </c>
      <c r="D301" s="24">
        <v>92399789</v>
      </c>
      <c r="E301" t="s">
        <v>56</v>
      </c>
      <c r="F301" s="28">
        <v>23.08</v>
      </c>
      <c r="G301" t="s">
        <v>61</v>
      </c>
      <c r="H301" s="25">
        <v>0.29652777777777778</v>
      </c>
    </row>
    <row r="302" spans="1:8">
      <c r="A302">
        <v>10296</v>
      </c>
      <c r="B302" t="s">
        <v>28</v>
      </c>
      <c r="C302" t="s">
        <v>55</v>
      </c>
      <c r="D302" s="24">
        <v>63645553</v>
      </c>
      <c r="E302" t="s">
        <v>56</v>
      </c>
      <c r="F302" s="28">
        <v>23.4</v>
      </c>
      <c r="G302" t="s">
        <v>57</v>
      </c>
      <c r="H302" s="25">
        <v>4.2361111111111106E-2</v>
      </c>
    </row>
    <row r="303" spans="1:8">
      <c r="A303">
        <v>10297</v>
      </c>
      <c r="B303" t="s">
        <v>27</v>
      </c>
      <c r="C303" t="s">
        <v>59</v>
      </c>
      <c r="D303" s="24">
        <v>11175481</v>
      </c>
      <c r="E303" t="s">
        <v>56</v>
      </c>
      <c r="F303" s="28">
        <v>22.65</v>
      </c>
      <c r="G303" t="s">
        <v>61</v>
      </c>
      <c r="H303" s="25">
        <v>0.25416666666666665</v>
      </c>
    </row>
    <row r="304" spans="1:8">
      <c r="A304">
        <v>10298</v>
      </c>
      <c r="B304" t="s">
        <v>28</v>
      </c>
      <c r="C304" t="s">
        <v>55</v>
      </c>
      <c r="D304" s="24">
        <v>71269390</v>
      </c>
      <c r="E304" t="s">
        <v>60</v>
      </c>
      <c r="F304" s="28">
        <v>24.61</v>
      </c>
      <c r="G304" t="s">
        <v>61</v>
      </c>
      <c r="H304" s="25">
        <v>0.54722222222222217</v>
      </c>
    </row>
    <row r="305" spans="1:8">
      <c r="A305">
        <v>10299</v>
      </c>
      <c r="B305" t="s">
        <v>28</v>
      </c>
      <c r="C305" t="s">
        <v>59</v>
      </c>
      <c r="D305" s="24">
        <v>97215985</v>
      </c>
      <c r="E305" t="s">
        <v>56</v>
      </c>
      <c r="F305" s="28">
        <v>24.97</v>
      </c>
      <c r="G305" t="s">
        <v>61</v>
      </c>
      <c r="H305" s="25">
        <v>0.70347222222222217</v>
      </c>
    </row>
    <row r="306" spans="1:8">
      <c r="A306">
        <v>10300</v>
      </c>
      <c r="B306" t="s">
        <v>19</v>
      </c>
      <c r="C306" t="s">
        <v>59</v>
      </c>
      <c r="D306" s="24">
        <v>50531437</v>
      </c>
      <c r="E306" t="s">
        <v>56</v>
      </c>
      <c r="F306" s="28">
        <v>18.57</v>
      </c>
      <c r="G306" t="s">
        <v>61</v>
      </c>
      <c r="H306" s="25">
        <v>0.53125</v>
      </c>
    </row>
    <row r="307" spans="1:8">
      <c r="A307">
        <v>10301</v>
      </c>
      <c r="B307" t="s">
        <v>58</v>
      </c>
      <c r="C307" t="s">
        <v>59</v>
      </c>
      <c r="D307" s="24">
        <v>94922677</v>
      </c>
      <c r="E307" t="s">
        <v>60</v>
      </c>
      <c r="F307" s="28">
        <v>16.149999999999999</v>
      </c>
      <c r="G307" t="s">
        <v>57</v>
      </c>
      <c r="H307" s="25">
        <v>0.12708333333333333</v>
      </c>
    </row>
    <row r="308" spans="1:8">
      <c r="A308">
        <v>10302</v>
      </c>
      <c r="B308" t="s">
        <v>58</v>
      </c>
      <c r="C308" t="s">
        <v>55</v>
      </c>
      <c r="D308" s="24">
        <v>17454394</v>
      </c>
      <c r="E308" t="s">
        <v>56</v>
      </c>
      <c r="F308" s="28">
        <v>19.95</v>
      </c>
      <c r="G308" t="s">
        <v>61</v>
      </c>
      <c r="H308" s="25">
        <v>0.81597222222222221</v>
      </c>
    </row>
    <row r="309" spans="1:8">
      <c r="A309">
        <v>10303</v>
      </c>
      <c r="B309" t="s">
        <v>58</v>
      </c>
      <c r="C309" t="s">
        <v>55</v>
      </c>
      <c r="D309" s="24">
        <v>84850536</v>
      </c>
      <c r="E309" t="s">
        <v>56</v>
      </c>
      <c r="F309" s="28">
        <v>15.61</v>
      </c>
      <c r="G309" t="s">
        <v>57</v>
      </c>
      <c r="H309" s="25">
        <v>0.91805555555555562</v>
      </c>
    </row>
    <row r="310" spans="1:8">
      <c r="A310">
        <v>10304</v>
      </c>
      <c r="B310" t="s">
        <v>19</v>
      </c>
      <c r="C310" t="s">
        <v>59</v>
      </c>
      <c r="D310" s="24">
        <v>32164694</v>
      </c>
      <c r="E310" t="s">
        <v>60</v>
      </c>
      <c r="F310" s="28">
        <v>19.13</v>
      </c>
      <c r="G310" t="s">
        <v>61</v>
      </c>
      <c r="H310" s="25">
        <v>0.95486111111111116</v>
      </c>
    </row>
    <row r="311" spans="1:8">
      <c r="A311">
        <v>10305</v>
      </c>
      <c r="B311" t="s">
        <v>58</v>
      </c>
      <c r="C311" t="s">
        <v>59</v>
      </c>
      <c r="D311" s="24">
        <v>88979280</v>
      </c>
      <c r="E311" t="s">
        <v>56</v>
      </c>
      <c r="F311" s="28">
        <v>231.23</v>
      </c>
      <c r="G311" t="s">
        <v>61</v>
      </c>
      <c r="H311" s="25">
        <v>0</v>
      </c>
    </row>
    <row r="312" spans="1:8">
      <c r="A312">
        <v>10306</v>
      </c>
      <c r="B312" t="s">
        <v>28</v>
      </c>
      <c r="C312" t="s">
        <v>59</v>
      </c>
      <c r="D312" s="24">
        <v>21059538</v>
      </c>
      <c r="E312" t="s">
        <v>60</v>
      </c>
      <c r="F312" s="28">
        <v>244.75</v>
      </c>
      <c r="G312" t="s">
        <v>61</v>
      </c>
      <c r="H312" s="25">
        <v>0.42569444444444443</v>
      </c>
    </row>
    <row r="313" spans="1:8">
      <c r="A313">
        <v>10307</v>
      </c>
      <c r="B313" t="s">
        <v>19</v>
      </c>
      <c r="C313" t="s">
        <v>55</v>
      </c>
      <c r="D313" s="24">
        <v>12677778</v>
      </c>
      <c r="E313" t="s">
        <v>56</v>
      </c>
      <c r="F313" s="28">
        <v>21.36</v>
      </c>
      <c r="G313" t="s">
        <v>57</v>
      </c>
      <c r="H313" s="25">
        <v>0.85069444444444453</v>
      </c>
    </row>
    <row r="314" spans="1:8">
      <c r="A314">
        <v>10308</v>
      </c>
      <c r="B314" t="s">
        <v>58</v>
      </c>
      <c r="C314" t="s">
        <v>59</v>
      </c>
      <c r="D314" s="24">
        <v>77758706</v>
      </c>
      <c r="E314" t="s">
        <v>56</v>
      </c>
      <c r="F314" s="28">
        <v>21.83</v>
      </c>
      <c r="G314" t="s">
        <v>61</v>
      </c>
      <c r="H314" s="25">
        <v>4.2361111111111106E-2</v>
      </c>
    </row>
    <row r="315" spans="1:8">
      <c r="A315">
        <v>10309</v>
      </c>
      <c r="B315" t="s">
        <v>19</v>
      </c>
      <c r="C315" t="s">
        <v>59</v>
      </c>
      <c r="D315" s="24">
        <v>14512758</v>
      </c>
      <c r="E315" t="s">
        <v>60</v>
      </c>
      <c r="F315" s="28">
        <v>21.58</v>
      </c>
      <c r="G315" t="s">
        <v>57</v>
      </c>
      <c r="H315" s="25">
        <v>4.2361111111111106E-2</v>
      </c>
    </row>
    <row r="316" spans="1:8">
      <c r="A316">
        <v>10310</v>
      </c>
      <c r="B316" t="s">
        <v>27</v>
      </c>
      <c r="C316" t="s">
        <v>55</v>
      </c>
      <c r="D316" s="24">
        <v>23076219</v>
      </c>
      <c r="E316" t="s">
        <v>60</v>
      </c>
      <c r="F316" s="28">
        <v>17.510000000000002</v>
      </c>
      <c r="G316" t="s">
        <v>61</v>
      </c>
      <c r="H316" s="25">
        <v>0.84652777777777777</v>
      </c>
    </row>
    <row r="317" spans="1:8">
      <c r="A317">
        <v>10311</v>
      </c>
      <c r="B317" t="s">
        <v>19</v>
      </c>
      <c r="C317" t="s">
        <v>55</v>
      </c>
      <c r="D317" s="24">
        <v>71350323</v>
      </c>
      <c r="E317" t="s">
        <v>56</v>
      </c>
      <c r="F317" s="28">
        <v>23.29</v>
      </c>
      <c r="G317" t="s">
        <v>57</v>
      </c>
      <c r="H317" s="25">
        <v>0.16944444444444443</v>
      </c>
    </row>
    <row r="318" spans="1:8">
      <c r="A318">
        <v>10312</v>
      </c>
      <c r="B318" t="s">
        <v>58</v>
      </c>
      <c r="C318" t="s">
        <v>55</v>
      </c>
      <c r="D318" s="24">
        <v>60395312</v>
      </c>
      <c r="E318" t="s">
        <v>56</v>
      </c>
      <c r="F318" s="28">
        <v>18.350000000000001</v>
      </c>
      <c r="G318" t="s">
        <v>61</v>
      </c>
      <c r="H318" s="25">
        <v>0.87083333333333324</v>
      </c>
    </row>
    <row r="319" spans="1:8">
      <c r="A319">
        <v>10313</v>
      </c>
      <c r="B319" t="s">
        <v>58</v>
      </c>
      <c r="C319" t="s">
        <v>59</v>
      </c>
      <c r="D319" s="24">
        <v>38530736</v>
      </c>
      <c r="E319" t="s">
        <v>60</v>
      </c>
      <c r="F319" s="28">
        <v>23.06</v>
      </c>
      <c r="G319" t="s">
        <v>57</v>
      </c>
      <c r="H319" s="25">
        <v>0.4916666666666667</v>
      </c>
    </row>
    <row r="320" spans="1:8">
      <c r="A320">
        <v>10314</v>
      </c>
      <c r="B320" t="s">
        <v>19</v>
      </c>
      <c r="C320" t="s">
        <v>59</v>
      </c>
      <c r="D320" s="24">
        <v>16039556</v>
      </c>
      <c r="E320" t="s">
        <v>56</v>
      </c>
      <c r="F320" s="28">
        <v>19.809999999999999</v>
      </c>
      <c r="G320" t="s">
        <v>57</v>
      </c>
      <c r="H320" s="25">
        <v>0.8881944444444444</v>
      </c>
    </row>
    <row r="321" spans="1:8">
      <c r="A321">
        <v>10315</v>
      </c>
      <c r="B321" t="s">
        <v>28</v>
      </c>
      <c r="C321" t="s">
        <v>59</v>
      </c>
      <c r="D321" s="24">
        <v>93353650</v>
      </c>
      <c r="E321" t="s">
        <v>56</v>
      </c>
      <c r="F321" s="28">
        <v>162.74</v>
      </c>
      <c r="G321" t="s">
        <v>61</v>
      </c>
      <c r="H321" s="25">
        <v>0.38124999999999998</v>
      </c>
    </row>
    <row r="322" spans="1:8">
      <c r="A322">
        <v>10316</v>
      </c>
      <c r="B322" t="s">
        <v>28</v>
      </c>
      <c r="C322" t="s">
        <v>59</v>
      </c>
      <c r="D322" s="24">
        <v>14150787</v>
      </c>
      <c r="E322" t="s">
        <v>56</v>
      </c>
      <c r="F322" s="28">
        <v>16.86</v>
      </c>
      <c r="G322" t="s">
        <v>57</v>
      </c>
      <c r="H322" s="25">
        <v>0.38124999999999998</v>
      </c>
    </row>
    <row r="323" spans="1:8">
      <c r="A323">
        <v>10317</v>
      </c>
      <c r="B323" t="s">
        <v>19</v>
      </c>
      <c r="C323" t="s">
        <v>59</v>
      </c>
      <c r="D323" s="24">
        <v>97279689</v>
      </c>
      <c r="E323" t="s">
        <v>56</v>
      </c>
      <c r="F323" s="28">
        <v>23.31</v>
      </c>
      <c r="G323" t="s">
        <v>61</v>
      </c>
      <c r="H323" s="25">
        <v>0.68263888888888891</v>
      </c>
    </row>
    <row r="324" spans="1:8">
      <c r="A324">
        <v>10318</v>
      </c>
      <c r="B324" t="s">
        <v>58</v>
      </c>
      <c r="C324" t="s">
        <v>59</v>
      </c>
      <c r="D324" s="24">
        <v>65882511</v>
      </c>
      <c r="E324" t="s">
        <v>60</v>
      </c>
      <c r="F324" s="28">
        <v>22.92</v>
      </c>
      <c r="G324" t="s">
        <v>61</v>
      </c>
      <c r="H324" s="25">
        <v>0</v>
      </c>
    </row>
    <row r="325" spans="1:8">
      <c r="A325">
        <v>10319</v>
      </c>
      <c r="B325" t="s">
        <v>58</v>
      </c>
      <c r="C325" t="s">
        <v>59</v>
      </c>
      <c r="D325" s="24">
        <v>88066592</v>
      </c>
      <c r="E325" t="s">
        <v>60</v>
      </c>
      <c r="F325" s="28">
        <v>22.84</v>
      </c>
      <c r="G325" t="s">
        <v>57</v>
      </c>
      <c r="H325" s="25">
        <v>0.73402777777777783</v>
      </c>
    </row>
    <row r="326" spans="1:8">
      <c r="A326">
        <v>10320</v>
      </c>
      <c r="B326" t="s">
        <v>27</v>
      </c>
      <c r="C326" t="s">
        <v>59</v>
      </c>
      <c r="D326" s="24">
        <v>82643293</v>
      </c>
      <c r="E326" t="s">
        <v>56</v>
      </c>
      <c r="F326" s="28">
        <v>16.97</v>
      </c>
      <c r="G326" t="s">
        <v>57</v>
      </c>
      <c r="H326" s="25">
        <v>0.16944444444444443</v>
      </c>
    </row>
    <row r="327" spans="1:8">
      <c r="A327">
        <v>10321</v>
      </c>
      <c r="B327" t="s">
        <v>19</v>
      </c>
      <c r="C327" t="s">
        <v>59</v>
      </c>
      <c r="D327" s="24">
        <v>97730191</v>
      </c>
      <c r="E327" t="s">
        <v>60</v>
      </c>
      <c r="F327" s="28">
        <v>188.16</v>
      </c>
      <c r="G327" t="s">
        <v>61</v>
      </c>
      <c r="H327" s="25">
        <v>0.80625000000000002</v>
      </c>
    </row>
    <row r="328" spans="1:8">
      <c r="A328">
        <v>10322</v>
      </c>
      <c r="B328" t="s">
        <v>58</v>
      </c>
      <c r="C328" t="s">
        <v>59</v>
      </c>
      <c r="D328" s="24">
        <v>59686740</v>
      </c>
      <c r="E328" t="s">
        <v>56</v>
      </c>
      <c r="F328" s="28">
        <v>22.57</v>
      </c>
      <c r="G328" t="s">
        <v>57</v>
      </c>
      <c r="H328" s="25">
        <v>0.78125</v>
      </c>
    </row>
    <row r="329" spans="1:8">
      <c r="A329">
        <v>10323</v>
      </c>
      <c r="B329" t="s">
        <v>27</v>
      </c>
      <c r="C329" t="s">
        <v>55</v>
      </c>
      <c r="D329" s="24">
        <v>93594435</v>
      </c>
      <c r="E329" t="s">
        <v>56</v>
      </c>
      <c r="F329" s="28">
        <v>24.71</v>
      </c>
      <c r="G329" t="s">
        <v>57</v>
      </c>
      <c r="H329" s="25">
        <v>0.56527777777777777</v>
      </c>
    </row>
    <row r="330" spans="1:8">
      <c r="A330">
        <v>10324</v>
      </c>
      <c r="B330" t="s">
        <v>19</v>
      </c>
      <c r="C330" t="s">
        <v>59</v>
      </c>
      <c r="D330" s="24">
        <v>82961120</v>
      </c>
      <c r="E330" t="s">
        <v>56</v>
      </c>
      <c r="F330" s="28">
        <v>246.67</v>
      </c>
      <c r="G330" t="s">
        <v>61</v>
      </c>
      <c r="H330" s="25">
        <v>0.69930555555555562</v>
      </c>
    </row>
    <row r="331" spans="1:8">
      <c r="A331">
        <v>10325</v>
      </c>
      <c r="B331" t="s">
        <v>19</v>
      </c>
      <c r="C331" t="s">
        <v>59</v>
      </c>
      <c r="D331" s="24">
        <v>97623213</v>
      </c>
      <c r="E331" t="s">
        <v>56</v>
      </c>
      <c r="F331" s="28">
        <v>20.97</v>
      </c>
      <c r="G331" t="s">
        <v>61</v>
      </c>
      <c r="H331" s="25">
        <v>0.33888888888888885</v>
      </c>
    </row>
    <row r="332" spans="1:8">
      <c r="A332">
        <v>10326</v>
      </c>
      <c r="B332" t="s">
        <v>28</v>
      </c>
      <c r="C332" t="s">
        <v>55</v>
      </c>
      <c r="D332" s="24">
        <v>14765562</v>
      </c>
      <c r="E332" t="s">
        <v>60</v>
      </c>
      <c r="F332" s="28">
        <v>19.829999999999998</v>
      </c>
      <c r="G332" t="s">
        <v>61</v>
      </c>
      <c r="H332" s="25">
        <v>0.16944444444444443</v>
      </c>
    </row>
    <row r="333" spans="1:8">
      <c r="A333">
        <v>10327</v>
      </c>
      <c r="B333" t="s">
        <v>58</v>
      </c>
      <c r="C333" t="s">
        <v>55</v>
      </c>
      <c r="D333" s="24">
        <v>85470735</v>
      </c>
      <c r="E333" t="s">
        <v>60</v>
      </c>
      <c r="F333" s="28">
        <v>19.09</v>
      </c>
      <c r="G333" t="s">
        <v>61</v>
      </c>
      <c r="H333" s="25">
        <v>0.48958333333333331</v>
      </c>
    </row>
    <row r="334" spans="1:8">
      <c r="A334">
        <v>10328</v>
      </c>
      <c r="B334" t="s">
        <v>19</v>
      </c>
      <c r="C334" t="s">
        <v>59</v>
      </c>
      <c r="D334" s="24">
        <v>55160635</v>
      </c>
      <c r="E334" t="s">
        <v>60</v>
      </c>
      <c r="F334" s="28">
        <v>16.52</v>
      </c>
      <c r="G334" t="s">
        <v>61</v>
      </c>
      <c r="H334" s="25">
        <v>0.25416666666666665</v>
      </c>
    </row>
    <row r="335" spans="1:8">
      <c r="A335">
        <v>10329</v>
      </c>
      <c r="B335" t="s">
        <v>19</v>
      </c>
      <c r="C335" t="s">
        <v>59</v>
      </c>
      <c r="D335" s="24">
        <v>90852426</v>
      </c>
      <c r="E335" t="s">
        <v>60</v>
      </c>
      <c r="F335" s="28">
        <v>22.31</v>
      </c>
      <c r="G335" t="s">
        <v>61</v>
      </c>
      <c r="H335" s="25">
        <v>8.4722222222222213E-2</v>
      </c>
    </row>
    <row r="336" spans="1:8">
      <c r="A336">
        <v>10330</v>
      </c>
      <c r="B336" t="s">
        <v>27</v>
      </c>
      <c r="C336" t="s">
        <v>59</v>
      </c>
      <c r="D336" s="24">
        <v>15945216</v>
      </c>
      <c r="E336" t="s">
        <v>60</v>
      </c>
      <c r="F336" s="28">
        <v>19.52</v>
      </c>
      <c r="G336" t="s">
        <v>57</v>
      </c>
      <c r="H336" s="25">
        <v>0</v>
      </c>
    </row>
    <row r="337" spans="1:8">
      <c r="A337">
        <v>10331</v>
      </c>
      <c r="B337" t="s">
        <v>58</v>
      </c>
      <c r="C337" t="s">
        <v>59</v>
      </c>
      <c r="D337" s="24">
        <v>96688991</v>
      </c>
      <c r="E337" t="s">
        <v>56</v>
      </c>
      <c r="F337" s="28">
        <v>24.79</v>
      </c>
      <c r="G337" t="s">
        <v>57</v>
      </c>
      <c r="H337" s="25">
        <v>0.38124999999999998</v>
      </c>
    </row>
    <row r="338" spans="1:8">
      <c r="A338">
        <v>10332</v>
      </c>
      <c r="B338" t="s">
        <v>58</v>
      </c>
      <c r="C338" t="s">
        <v>59</v>
      </c>
      <c r="D338" s="24">
        <v>31841597</v>
      </c>
      <c r="E338" t="s">
        <v>60</v>
      </c>
      <c r="F338" s="28">
        <v>18.84</v>
      </c>
      <c r="G338" t="s">
        <v>57</v>
      </c>
      <c r="H338" s="25">
        <v>0.9194444444444444</v>
      </c>
    </row>
    <row r="339" spans="1:8">
      <c r="A339">
        <v>10333</v>
      </c>
      <c r="B339" t="s">
        <v>28</v>
      </c>
      <c r="C339" t="s">
        <v>59</v>
      </c>
      <c r="D339" s="24">
        <v>69450143</v>
      </c>
      <c r="E339" t="s">
        <v>56</v>
      </c>
      <c r="F339" s="28">
        <v>24.58</v>
      </c>
      <c r="G339" t="s">
        <v>57</v>
      </c>
      <c r="H339" s="25">
        <v>0</v>
      </c>
    </row>
    <row r="340" spans="1:8">
      <c r="A340">
        <v>10334</v>
      </c>
      <c r="B340" t="s">
        <v>27</v>
      </c>
      <c r="C340" t="s">
        <v>59</v>
      </c>
      <c r="D340" s="24">
        <v>43384272</v>
      </c>
      <c r="E340" t="s">
        <v>56</v>
      </c>
      <c r="F340" s="28">
        <v>17.190000000000001</v>
      </c>
      <c r="G340" t="s">
        <v>61</v>
      </c>
      <c r="H340" s="25">
        <v>0.5131944444444444</v>
      </c>
    </row>
    <row r="341" spans="1:8">
      <c r="A341">
        <v>10335</v>
      </c>
      <c r="B341" t="s">
        <v>28</v>
      </c>
      <c r="C341" t="s">
        <v>55</v>
      </c>
      <c r="D341" s="24">
        <v>65292790</v>
      </c>
      <c r="E341" t="s">
        <v>56</v>
      </c>
      <c r="F341" s="28">
        <v>19.649999999999999</v>
      </c>
      <c r="G341" t="s">
        <v>61</v>
      </c>
      <c r="H341" s="25">
        <v>0.25416666666666665</v>
      </c>
    </row>
    <row r="342" spans="1:8">
      <c r="A342">
        <v>10336</v>
      </c>
      <c r="B342" t="s">
        <v>19</v>
      </c>
      <c r="C342" t="s">
        <v>59</v>
      </c>
      <c r="D342" s="24">
        <v>71336291</v>
      </c>
      <c r="E342" t="s">
        <v>56</v>
      </c>
      <c r="F342" s="28">
        <v>17.350000000000001</v>
      </c>
      <c r="G342" t="s">
        <v>61</v>
      </c>
      <c r="H342" s="25">
        <v>0.90069444444444446</v>
      </c>
    </row>
    <row r="343" spans="1:8">
      <c r="A343">
        <v>10337</v>
      </c>
      <c r="B343" t="s">
        <v>58</v>
      </c>
      <c r="C343" t="s">
        <v>55</v>
      </c>
      <c r="D343" s="24">
        <v>99300859</v>
      </c>
      <c r="E343" t="s">
        <v>56</v>
      </c>
      <c r="F343" s="28">
        <v>22.92</v>
      </c>
      <c r="G343" t="s">
        <v>57</v>
      </c>
      <c r="H343" s="25">
        <v>0.68263888888888891</v>
      </c>
    </row>
    <row r="344" spans="1:8">
      <c r="A344">
        <v>10338</v>
      </c>
      <c r="B344" t="s">
        <v>27</v>
      </c>
      <c r="C344" t="s">
        <v>59</v>
      </c>
      <c r="D344" s="24">
        <v>81921349</v>
      </c>
      <c r="E344" t="s">
        <v>60</v>
      </c>
      <c r="F344" s="28">
        <v>18.809999999999999</v>
      </c>
      <c r="G344" t="s">
        <v>57</v>
      </c>
      <c r="H344" s="25">
        <v>0.29652777777777778</v>
      </c>
    </row>
    <row r="345" spans="1:8">
      <c r="A345">
        <v>10339</v>
      </c>
      <c r="B345" t="s">
        <v>58</v>
      </c>
      <c r="C345" t="s">
        <v>55</v>
      </c>
      <c r="D345" s="24">
        <v>40237279</v>
      </c>
      <c r="E345" t="s">
        <v>56</v>
      </c>
      <c r="F345" s="28">
        <v>20.079999999999998</v>
      </c>
      <c r="G345" t="s">
        <v>61</v>
      </c>
      <c r="H345" s="25">
        <v>0.12708333333333333</v>
      </c>
    </row>
    <row r="346" spans="1:8">
      <c r="A346">
        <v>10340</v>
      </c>
      <c r="B346" t="s">
        <v>58</v>
      </c>
      <c r="C346" t="s">
        <v>59</v>
      </c>
      <c r="D346" s="24">
        <v>38167466</v>
      </c>
      <c r="E346" t="s">
        <v>60</v>
      </c>
      <c r="F346" s="28">
        <v>24.54</v>
      </c>
      <c r="G346" t="s">
        <v>61</v>
      </c>
      <c r="H346" s="25">
        <v>0.16944444444444443</v>
      </c>
    </row>
    <row r="347" spans="1:8">
      <c r="A347">
        <v>10341</v>
      </c>
      <c r="B347" t="s">
        <v>58</v>
      </c>
      <c r="C347" t="s">
        <v>55</v>
      </c>
      <c r="D347" s="24">
        <v>88466601</v>
      </c>
      <c r="E347" t="s">
        <v>56</v>
      </c>
      <c r="F347" s="28">
        <v>24.81</v>
      </c>
      <c r="G347" t="s">
        <v>61</v>
      </c>
      <c r="H347" s="25">
        <v>0.61111111111111105</v>
      </c>
    </row>
    <row r="348" spans="1:8">
      <c r="A348">
        <v>10342</v>
      </c>
      <c r="B348" t="s">
        <v>58</v>
      </c>
      <c r="C348" t="s">
        <v>55</v>
      </c>
      <c r="D348" s="24">
        <v>27965385</v>
      </c>
      <c r="E348" t="s">
        <v>60</v>
      </c>
      <c r="F348" s="28">
        <v>15.94</v>
      </c>
      <c r="G348" t="s">
        <v>57</v>
      </c>
      <c r="H348" s="25">
        <v>0</v>
      </c>
    </row>
    <row r="349" spans="1:8">
      <c r="A349">
        <v>10343</v>
      </c>
      <c r="B349" t="s">
        <v>27</v>
      </c>
      <c r="C349" t="s">
        <v>55</v>
      </c>
      <c r="D349" s="24">
        <v>80215999</v>
      </c>
      <c r="E349" t="s">
        <v>56</v>
      </c>
      <c r="F349" s="28">
        <v>18.29</v>
      </c>
      <c r="G349" t="s">
        <v>57</v>
      </c>
      <c r="H349" s="25">
        <v>0.33888888888888885</v>
      </c>
    </row>
    <row r="350" spans="1:8">
      <c r="A350">
        <v>10344</v>
      </c>
      <c r="B350" t="s">
        <v>28</v>
      </c>
      <c r="C350" t="s">
        <v>59</v>
      </c>
      <c r="D350" s="24">
        <v>12222505</v>
      </c>
      <c r="E350" t="s">
        <v>56</v>
      </c>
      <c r="F350" s="28">
        <v>15.55</v>
      </c>
      <c r="G350" t="s">
        <v>57</v>
      </c>
      <c r="H350" s="25">
        <v>0.25416666666666665</v>
      </c>
    </row>
    <row r="351" spans="1:8">
      <c r="A351">
        <v>10345</v>
      </c>
      <c r="B351" t="s">
        <v>58</v>
      </c>
      <c r="C351" t="s">
        <v>55</v>
      </c>
      <c r="D351" s="24">
        <v>64014515</v>
      </c>
      <c r="E351" t="s">
        <v>56</v>
      </c>
      <c r="F351" s="28">
        <v>19.2</v>
      </c>
      <c r="G351" t="s">
        <v>57</v>
      </c>
      <c r="H351" s="25">
        <v>0.86944444444444446</v>
      </c>
    </row>
    <row r="352" spans="1:8">
      <c r="A352">
        <v>10346</v>
      </c>
      <c r="B352" t="s">
        <v>58</v>
      </c>
      <c r="C352" t="s">
        <v>59</v>
      </c>
      <c r="D352" s="24">
        <v>90818758</v>
      </c>
      <c r="E352" t="s">
        <v>60</v>
      </c>
      <c r="F352" s="28">
        <v>17.34</v>
      </c>
      <c r="G352" t="s">
        <v>57</v>
      </c>
      <c r="H352" s="25">
        <v>0.75694444444444453</v>
      </c>
    </row>
    <row r="353" spans="1:8">
      <c r="A353">
        <v>10347</v>
      </c>
      <c r="B353" t="s">
        <v>28</v>
      </c>
      <c r="C353" t="s">
        <v>55</v>
      </c>
      <c r="D353" s="24">
        <v>94873280</v>
      </c>
      <c r="E353" t="s">
        <v>60</v>
      </c>
      <c r="F353" s="28">
        <v>22.51</v>
      </c>
      <c r="G353" t="s">
        <v>57</v>
      </c>
      <c r="H353" s="25">
        <v>0.21180555555555555</v>
      </c>
    </row>
    <row r="354" spans="1:8">
      <c r="A354">
        <v>10348</v>
      </c>
      <c r="B354" t="s">
        <v>19</v>
      </c>
      <c r="C354" t="s">
        <v>55</v>
      </c>
      <c r="D354" s="24">
        <v>73200296</v>
      </c>
      <c r="E354" t="s">
        <v>60</v>
      </c>
      <c r="F354" s="28">
        <v>23.45</v>
      </c>
      <c r="G354" t="s">
        <v>57</v>
      </c>
      <c r="H354" s="25">
        <v>8.4722222222222213E-2</v>
      </c>
    </row>
    <row r="355" spans="1:8">
      <c r="A355">
        <v>10349</v>
      </c>
      <c r="B355" t="s">
        <v>28</v>
      </c>
      <c r="C355" t="s">
        <v>55</v>
      </c>
      <c r="D355" s="24">
        <v>38960810</v>
      </c>
      <c r="E355" t="s">
        <v>56</v>
      </c>
      <c r="F355" s="28">
        <v>16.149999999999999</v>
      </c>
      <c r="G355" t="s">
        <v>57</v>
      </c>
      <c r="H355" s="25">
        <v>0.57291666666666663</v>
      </c>
    </row>
    <row r="356" spans="1:8">
      <c r="A356">
        <v>10350</v>
      </c>
      <c r="B356" t="s">
        <v>58</v>
      </c>
      <c r="C356" t="s">
        <v>55</v>
      </c>
      <c r="D356" s="24">
        <v>88326061</v>
      </c>
      <c r="E356" t="s">
        <v>56</v>
      </c>
      <c r="F356" s="28">
        <v>17.68</v>
      </c>
      <c r="G356" t="s">
        <v>61</v>
      </c>
      <c r="H356" s="25">
        <v>0</v>
      </c>
    </row>
    <row r="357" spans="1:8">
      <c r="A357">
        <v>10351</v>
      </c>
      <c r="B357" t="s">
        <v>27</v>
      </c>
      <c r="C357" t="s">
        <v>59</v>
      </c>
      <c r="D357" s="24">
        <v>41691635</v>
      </c>
      <c r="E357" t="s">
        <v>60</v>
      </c>
      <c r="F357" s="28">
        <v>22.11</v>
      </c>
      <c r="G357" t="s">
        <v>61</v>
      </c>
      <c r="H357" s="25">
        <v>0.4777777777777778</v>
      </c>
    </row>
    <row r="358" spans="1:8">
      <c r="A358">
        <v>10352</v>
      </c>
      <c r="B358" t="s">
        <v>58</v>
      </c>
      <c r="C358" t="s">
        <v>59</v>
      </c>
      <c r="D358" s="24">
        <v>58121431</v>
      </c>
      <c r="E358" t="s">
        <v>56</v>
      </c>
      <c r="F358" s="28">
        <v>18.41</v>
      </c>
      <c r="G358" t="s">
        <v>57</v>
      </c>
      <c r="H358" s="25">
        <v>4.2361111111111106E-2</v>
      </c>
    </row>
    <row r="359" spans="1:8">
      <c r="A359">
        <v>10353</v>
      </c>
      <c r="B359" t="s">
        <v>58</v>
      </c>
      <c r="C359" t="s">
        <v>55</v>
      </c>
      <c r="D359" s="24">
        <v>55259994</v>
      </c>
      <c r="E359" t="s">
        <v>56</v>
      </c>
      <c r="F359" s="28">
        <v>17.079999999999998</v>
      </c>
      <c r="G359" t="s">
        <v>57</v>
      </c>
      <c r="H359" s="25">
        <v>0.71250000000000002</v>
      </c>
    </row>
    <row r="360" spans="1:8">
      <c r="A360">
        <v>10354</v>
      </c>
      <c r="B360" t="s">
        <v>19</v>
      </c>
      <c r="C360" t="s">
        <v>55</v>
      </c>
      <c r="D360" s="24">
        <v>61072223</v>
      </c>
      <c r="E360" t="s">
        <v>56</v>
      </c>
      <c r="F360" s="28">
        <v>15.77</v>
      </c>
      <c r="G360" t="s">
        <v>57</v>
      </c>
      <c r="H360" s="25">
        <v>0.44166666666666665</v>
      </c>
    </row>
    <row r="361" spans="1:8">
      <c r="A361">
        <v>10355</v>
      </c>
      <c r="B361" t="s">
        <v>28</v>
      </c>
      <c r="C361" t="s">
        <v>59</v>
      </c>
      <c r="D361" s="24">
        <v>17256670</v>
      </c>
      <c r="E361" t="s">
        <v>56</v>
      </c>
      <c r="F361" s="28">
        <v>22.41</v>
      </c>
      <c r="G361" t="s">
        <v>61</v>
      </c>
      <c r="H361" s="25">
        <v>0.29652777777777778</v>
      </c>
    </row>
    <row r="362" spans="1:8">
      <c r="A362">
        <v>10356</v>
      </c>
      <c r="B362" t="s">
        <v>27</v>
      </c>
      <c r="C362" t="s">
        <v>55</v>
      </c>
      <c r="D362" s="24">
        <v>98206099</v>
      </c>
      <c r="E362" t="s">
        <v>56</v>
      </c>
      <c r="F362" s="28">
        <v>20.63</v>
      </c>
      <c r="G362" t="s">
        <v>57</v>
      </c>
      <c r="H362" s="25">
        <v>0.12708333333333333</v>
      </c>
    </row>
    <row r="363" spans="1:8">
      <c r="A363">
        <v>10357</v>
      </c>
      <c r="B363" t="s">
        <v>19</v>
      </c>
      <c r="C363" t="s">
        <v>59</v>
      </c>
      <c r="D363" s="24">
        <v>43063718</v>
      </c>
      <c r="E363" t="s">
        <v>60</v>
      </c>
      <c r="F363" s="28">
        <v>18.14</v>
      </c>
      <c r="G363" t="s">
        <v>61</v>
      </c>
      <c r="H363" s="25">
        <v>0.12708333333333333</v>
      </c>
    </row>
    <row r="364" spans="1:8">
      <c r="A364">
        <v>10358</v>
      </c>
      <c r="B364" t="s">
        <v>27</v>
      </c>
      <c r="C364" t="s">
        <v>59</v>
      </c>
      <c r="D364" s="24">
        <v>67151337</v>
      </c>
      <c r="E364" t="s">
        <v>56</v>
      </c>
      <c r="F364" s="28">
        <v>20.18</v>
      </c>
      <c r="G364" t="s">
        <v>61</v>
      </c>
      <c r="H364" s="25">
        <v>0.46736111111111112</v>
      </c>
    </row>
    <row r="365" spans="1:8">
      <c r="A365">
        <v>10359</v>
      </c>
      <c r="B365" t="s">
        <v>58</v>
      </c>
      <c r="C365" t="s">
        <v>59</v>
      </c>
      <c r="D365" s="24">
        <v>39969279</v>
      </c>
      <c r="E365" t="s">
        <v>60</v>
      </c>
      <c r="F365" s="28">
        <v>177.3</v>
      </c>
      <c r="G365" t="s">
        <v>61</v>
      </c>
      <c r="H365" s="25">
        <v>0.48125000000000001</v>
      </c>
    </row>
    <row r="366" spans="1:8">
      <c r="A366">
        <v>10360</v>
      </c>
      <c r="B366" t="s">
        <v>19</v>
      </c>
      <c r="C366" t="s">
        <v>55</v>
      </c>
      <c r="D366" s="24">
        <v>58790759</v>
      </c>
      <c r="E366" t="s">
        <v>56</v>
      </c>
      <c r="F366" s="28">
        <v>15.71</v>
      </c>
      <c r="G366" t="s">
        <v>57</v>
      </c>
      <c r="H366" s="25">
        <v>0.21180555555555555</v>
      </c>
    </row>
    <row r="367" spans="1:8">
      <c r="A367">
        <v>10361</v>
      </c>
      <c r="B367" t="s">
        <v>27</v>
      </c>
      <c r="C367" t="s">
        <v>59</v>
      </c>
      <c r="D367" s="24">
        <v>45790914</v>
      </c>
      <c r="E367" t="s">
        <v>56</v>
      </c>
      <c r="F367" s="28">
        <v>21.75</v>
      </c>
      <c r="G367" t="s">
        <v>57</v>
      </c>
      <c r="H367" s="25">
        <v>0.72361111111111109</v>
      </c>
    </row>
    <row r="368" spans="1:8">
      <c r="A368">
        <v>10362</v>
      </c>
      <c r="B368" t="s">
        <v>19</v>
      </c>
      <c r="C368" t="s">
        <v>59</v>
      </c>
      <c r="D368" s="24">
        <v>85351233</v>
      </c>
      <c r="E368" t="s">
        <v>60</v>
      </c>
      <c r="F368" s="28">
        <v>18.25</v>
      </c>
      <c r="G368" t="s">
        <v>61</v>
      </c>
      <c r="H368" s="25">
        <v>0.21180555555555555</v>
      </c>
    </row>
    <row r="369" spans="1:8">
      <c r="A369">
        <v>10363</v>
      </c>
      <c r="B369" t="s">
        <v>19</v>
      </c>
      <c r="C369" t="s">
        <v>59</v>
      </c>
      <c r="D369" s="24">
        <v>40331224</v>
      </c>
      <c r="E369" t="s">
        <v>56</v>
      </c>
      <c r="F369" s="28">
        <v>203.72</v>
      </c>
      <c r="G369" t="s">
        <v>61</v>
      </c>
      <c r="H369" s="25">
        <v>0.60347222222222219</v>
      </c>
    </row>
    <row r="370" spans="1:8">
      <c r="A370">
        <v>10364</v>
      </c>
      <c r="B370" t="s">
        <v>58</v>
      </c>
      <c r="C370" t="s">
        <v>55</v>
      </c>
      <c r="D370" s="24">
        <v>13065288</v>
      </c>
      <c r="E370" t="s">
        <v>60</v>
      </c>
      <c r="F370" s="28">
        <v>15.54</v>
      </c>
      <c r="G370" t="s">
        <v>61</v>
      </c>
      <c r="H370" s="25">
        <v>0.81666666666666676</v>
      </c>
    </row>
    <row r="371" spans="1:8">
      <c r="A371">
        <v>10365</v>
      </c>
      <c r="B371" t="s">
        <v>58</v>
      </c>
      <c r="C371" t="s">
        <v>59</v>
      </c>
      <c r="D371" s="24">
        <v>30370343</v>
      </c>
      <c r="E371" t="s">
        <v>56</v>
      </c>
      <c r="F371" s="28">
        <v>17.5</v>
      </c>
      <c r="G371" t="s">
        <v>57</v>
      </c>
      <c r="H371" s="25">
        <v>0.21180555555555555</v>
      </c>
    </row>
    <row r="372" spans="1:8">
      <c r="A372">
        <v>10366</v>
      </c>
      <c r="B372" t="s">
        <v>28</v>
      </c>
      <c r="C372" t="s">
        <v>59</v>
      </c>
      <c r="D372" s="24">
        <v>38342520</v>
      </c>
      <c r="E372" t="s">
        <v>56</v>
      </c>
      <c r="F372" s="28">
        <v>21.32</v>
      </c>
      <c r="G372" t="s">
        <v>61</v>
      </c>
      <c r="H372" s="25">
        <v>8.4722222222222213E-2</v>
      </c>
    </row>
    <row r="373" spans="1:8">
      <c r="A373">
        <v>10367</v>
      </c>
      <c r="B373" t="s">
        <v>28</v>
      </c>
      <c r="C373" t="s">
        <v>55</v>
      </c>
      <c r="D373" s="24">
        <v>37778643</v>
      </c>
      <c r="E373" t="s">
        <v>56</v>
      </c>
      <c r="F373" s="28">
        <v>150.86000000000001</v>
      </c>
      <c r="G373" t="s">
        <v>61</v>
      </c>
      <c r="H373" s="25">
        <v>0.55347222222222225</v>
      </c>
    </row>
    <row r="374" spans="1:8">
      <c r="A374">
        <v>10368</v>
      </c>
      <c r="B374" t="s">
        <v>58</v>
      </c>
      <c r="C374" t="s">
        <v>55</v>
      </c>
      <c r="D374" s="24">
        <v>21005551</v>
      </c>
      <c r="E374" t="s">
        <v>56</v>
      </c>
      <c r="F374" s="28">
        <v>17.39</v>
      </c>
      <c r="G374" t="s">
        <v>61</v>
      </c>
      <c r="H374" s="25">
        <v>0.16944444444444443</v>
      </c>
    </row>
    <row r="375" spans="1:8">
      <c r="A375">
        <v>10369</v>
      </c>
      <c r="B375" t="s">
        <v>28</v>
      </c>
      <c r="C375" t="s">
        <v>59</v>
      </c>
      <c r="D375" s="24">
        <v>80160243</v>
      </c>
      <c r="E375" t="s">
        <v>56</v>
      </c>
      <c r="F375" s="28">
        <v>23.87</v>
      </c>
      <c r="G375" t="s">
        <v>57</v>
      </c>
      <c r="H375" s="25">
        <v>0.57777777777777783</v>
      </c>
    </row>
    <row r="376" spans="1:8">
      <c r="A376">
        <v>10370</v>
      </c>
      <c r="B376" t="s">
        <v>27</v>
      </c>
      <c r="C376" t="s">
        <v>59</v>
      </c>
      <c r="D376" s="24">
        <v>70859272</v>
      </c>
      <c r="E376" t="s">
        <v>56</v>
      </c>
      <c r="F376" s="28">
        <v>21.53</v>
      </c>
      <c r="G376" t="s">
        <v>61</v>
      </c>
      <c r="H376" s="25">
        <v>0.6694444444444444</v>
      </c>
    </row>
    <row r="377" spans="1:8">
      <c r="A377">
        <v>10371</v>
      </c>
      <c r="B377" t="s">
        <v>27</v>
      </c>
      <c r="C377" t="s">
        <v>59</v>
      </c>
      <c r="D377" s="24">
        <v>41514905</v>
      </c>
      <c r="E377" t="s">
        <v>56</v>
      </c>
      <c r="F377" s="28">
        <v>19.64</v>
      </c>
      <c r="G377" t="s">
        <v>57</v>
      </c>
      <c r="H377" s="25">
        <v>0.67638888888888893</v>
      </c>
    </row>
    <row r="378" spans="1:8">
      <c r="A378">
        <v>10372</v>
      </c>
      <c r="B378" t="s">
        <v>58</v>
      </c>
      <c r="C378" t="s">
        <v>55</v>
      </c>
      <c r="D378" s="24">
        <v>68986646</v>
      </c>
      <c r="E378" t="s">
        <v>56</v>
      </c>
      <c r="F378" s="28">
        <v>18.27</v>
      </c>
      <c r="G378" t="s">
        <v>61</v>
      </c>
      <c r="H378" s="25">
        <v>0.77708333333333324</v>
      </c>
    </row>
    <row r="379" spans="1:8">
      <c r="A379">
        <v>10373</v>
      </c>
      <c r="B379" t="s">
        <v>58</v>
      </c>
      <c r="C379" t="s">
        <v>59</v>
      </c>
      <c r="D379" s="24">
        <v>51423763</v>
      </c>
      <c r="E379" t="s">
        <v>56</v>
      </c>
      <c r="F379" s="28">
        <v>19.27</v>
      </c>
      <c r="G379" t="s">
        <v>57</v>
      </c>
      <c r="H379" s="25">
        <v>0.25416666666666665</v>
      </c>
    </row>
    <row r="380" spans="1:8">
      <c r="A380">
        <v>10374</v>
      </c>
      <c r="B380" t="s">
        <v>27</v>
      </c>
      <c r="C380" t="s">
        <v>59</v>
      </c>
      <c r="D380" s="24">
        <v>78615837</v>
      </c>
      <c r="E380" t="s">
        <v>56</v>
      </c>
      <c r="F380" s="28">
        <v>20.16</v>
      </c>
      <c r="G380" t="s">
        <v>61</v>
      </c>
      <c r="H380" s="25">
        <v>0.60972222222222217</v>
      </c>
    </row>
    <row r="381" spans="1:8">
      <c r="A381">
        <v>10375</v>
      </c>
      <c r="B381" t="s">
        <v>58</v>
      </c>
      <c r="C381" t="s">
        <v>59</v>
      </c>
      <c r="D381" s="24">
        <v>95641106</v>
      </c>
      <c r="E381" t="s">
        <v>56</v>
      </c>
      <c r="F381" s="28">
        <v>15.59</v>
      </c>
      <c r="G381" t="s">
        <v>57</v>
      </c>
      <c r="H381" s="25">
        <v>0.16944444444444443</v>
      </c>
    </row>
    <row r="382" spans="1:8">
      <c r="A382">
        <v>10376</v>
      </c>
      <c r="B382" t="s">
        <v>19</v>
      </c>
      <c r="C382" t="s">
        <v>55</v>
      </c>
      <c r="D382" s="24">
        <v>40892422</v>
      </c>
      <c r="E382" t="s">
        <v>60</v>
      </c>
      <c r="F382" s="28">
        <v>16.34</v>
      </c>
      <c r="G382" t="s">
        <v>57</v>
      </c>
      <c r="H382" s="25">
        <v>0.52430555555555558</v>
      </c>
    </row>
    <row r="383" spans="1:8">
      <c r="A383">
        <v>10377</v>
      </c>
      <c r="B383" t="s">
        <v>28</v>
      </c>
      <c r="C383" t="s">
        <v>59</v>
      </c>
      <c r="D383" s="24">
        <v>70431710</v>
      </c>
      <c r="E383" t="s">
        <v>56</v>
      </c>
      <c r="F383" s="28">
        <v>199.18</v>
      </c>
      <c r="G383" t="s">
        <v>61</v>
      </c>
      <c r="H383" s="25">
        <v>0.58333333333333337</v>
      </c>
    </row>
    <row r="384" spans="1:8">
      <c r="A384">
        <v>10378</v>
      </c>
      <c r="B384" t="s">
        <v>19</v>
      </c>
      <c r="C384" t="s">
        <v>55</v>
      </c>
      <c r="D384" s="24">
        <v>95673115</v>
      </c>
      <c r="E384" t="s">
        <v>56</v>
      </c>
      <c r="F384" s="28">
        <v>19.989999999999998</v>
      </c>
      <c r="G384" t="s">
        <v>61</v>
      </c>
      <c r="H384" s="25">
        <v>0.8534722222222223</v>
      </c>
    </row>
    <row r="385" spans="1:8">
      <c r="A385">
        <v>10379</v>
      </c>
      <c r="B385" t="s">
        <v>27</v>
      </c>
      <c r="C385" t="s">
        <v>59</v>
      </c>
      <c r="D385" s="24">
        <v>72527223</v>
      </c>
      <c r="E385" t="s">
        <v>60</v>
      </c>
      <c r="F385" s="28">
        <v>18.440000000000001</v>
      </c>
      <c r="G385" t="s">
        <v>57</v>
      </c>
      <c r="H385" s="25">
        <v>0.77638888888888891</v>
      </c>
    </row>
    <row r="386" spans="1:8">
      <c r="A386">
        <v>10380</v>
      </c>
      <c r="B386" t="s">
        <v>58</v>
      </c>
      <c r="C386" t="s">
        <v>59</v>
      </c>
      <c r="D386" s="24">
        <v>77577648</v>
      </c>
      <c r="E386" t="s">
        <v>56</v>
      </c>
      <c r="F386" s="28">
        <v>23.75</v>
      </c>
      <c r="G386" t="s">
        <v>61</v>
      </c>
      <c r="H386" s="25">
        <v>0.38124999999999998</v>
      </c>
    </row>
    <row r="387" spans="1:8">
      <c r="A387">
        <v>10381</v>
      </c>
      <c r="B387" t="s">
        <v>58</v>
      </c>
      <c r="C387" t="s">
        <v>59</v>
      </c>
      <c r="D387" s="24">
        <v>26849225</v>
      </c>
      <c r="E387" t="s">
        <v>56</v>
      </c>
      <c r="F387" s="28">
        <v>20.88</v>
      </c>
      <c r="G387" t="s">
        <v>57</v>
      </c>
      <c r="H387" s="25">
        <v>0</v>
      </c>
    </row>
    <row r="388" spans="1:8">
      <c r="A388">
        <v>10382</v>
      </c>
      <c r="B388" t="s">
        <v>19</v>
      </c>
      <c r="C388" t="s">
        <v>59</v>
      </c>
      <c r="D388" s="24">
        <v>27508938</v>
      </c>
      <c r="E388" t="s">
        <v>56</v>
      </c>
      <c r="F388" s="28">
        <v>197.43</v>
      </c>
      <c r="G388" t="s">
        <v>61</v>
      </c>
      <c r="H388" s="25">
        <v>0.4465277777777778</v>
      </c>
    </row>
    <row r="389" spans="1:8">
      <c r="A389">
        <v>10383</v>
      </c>
      <c r="B389" t="s">
        <v>58</v>
      </c>
      <c r="C389" t="s">
        <v>59</v>
      </c>
      <c r="D389" s="24">
        <v>43095105</v>
      </c>
      <c r="E389" t="s">
        <v>56</v>
      </c>
      <c r="F389" s="28">
        <v>20.32</v>
      </c>
      <c r="G389" t="s">
        <v>61</v>
      </c>
      <c r="H389" s="25">
        <v>0.7729166666666667</v>
      </c>
    </row>
    <row r="390" spans="1:8">
      <c r="A390">
        <v>10384</v>
      </c>
      <c r="B390" t="s">
        <v>19</v>
      </c>
      <c r="C390" t="s">
        <v>59</v>
      </c>
      <c r="D390" s="24">
        <v>70978581</v>
      </c>
      <c r="E390" t="s">
        <v>56</v>
      </c>
      <c r="F390" s="28">
        <v>16.82</v>
      </c>
      <c r="G390" t="s">
        <v>57</v>
      </c>
      <c r="H390" s="25">
        <v>0.33888888888888885</v>
      </c>
    </row>
    <row r="391" spans="1:8">
      <c r="A391">
        <v>10385</v>
      </c>
      <c r="B391" t="s">
        <v>58</v>
      </c>
      <c r="C391" t="s">
        <v>55</v>
      </c>
      <c r="D391" s="24">
        <v>72898757</v>
      </c>
      <c r="E391" t="s">
        <v>56</v>
      </c>
      <c r="F391" s="28">
        <v>20.16</v>
      </c>
      <c r="G391" t="s">
        <v>61</v>
      </c>
      <c r="H391" s="25">
        <v>0.56944444444444442</v>
      </c>
    </row>
    <row r="392" spans="1:8">
      <c r="A392">
        <v>10386</v>
      </c>
      <c r="B392" t="s">
        <v>58</v>
      </c>
      <c r="C392" t="s">
        <v>59</v>
      </c>
      <c r="D392" s="24">
        <v>56976893</v>
      </c>
      <c r="E392" t="s">
        <v>56</v>
      </c>
      <c r="F392" s="28">
        <v>16.79</v>
      </c>
      <c r="G392" t="s">
        <v>61</v>
      </c>
      <c r="H392" s="25">
        <v>0.89375000000000004</v>
      </c>
    </row>
    <row r="393" spans="1:8">
      <c r="A393">
        <v>10387</v>
      </c>
      <c r="B393" t="s">
        <v>27</v>
      </c>
      <c r="C393" t="s">
        <v>59</v>
      </c>
      <c r="D393" s="24">
        <v>35119351</v>
      </c>
      <c r="E393" t="s">
        <v>60</v>
      </c>
      <c r="F393" s="28">
        <v>22.53</v>
      </c>
      <c r="G393" t="s">
        <v>61</v>
      </c>
      <c r="H393" s="25">
        <v>0.48680555555555555</v>
      </c>
    </row>
    <row r="394" spans="1:8">
      <c r="A394">
        <v>10388</v>
      </c>
      <c r="B394" t="s">
        <v>19</v>
      </c>
      <c r="C394" t="s">
        <v>55</v>
      </c>
      <c r="D394" s="24">
        <v>65437162</v>
      </c>
      <c r="E394" t="s">
        <v>60</v>
      </c>
      <c r="F394" s="28">
        <v>21.68</v>
      </c>
      <c r="G394" t="s">
        <v>61</v>
      </c>
      <c r="H394" s="25">
        <v>0.60555555555555551</v>
      </c>
    </row>
    <row r="395" spans="1:8">
      <c r="A395">
        <v>10389</v>
      </c>
      <c r="B395" t="s">
        <v>27</v>
      </c>
      <c r="C395" t="s">
        <v>55</v>
      </c>
      <c r="D395" s="24">
        <v>70003314</v>
      </c>
      <c r="E395" t="s">
        <v>60</v>
      </c>
      <c r="F395" s="28">
        <v>23.54</v>
      </c>
      <c r="G395" t="s">
        <v>61</v>
      </c>
      <c r="H395" s="25">
        <v>0.25416666666666665</v>
      </c>
    </row>
    <row r="396" spans="1:8">
      <c r="A396">
        <v>10390</v>
      </c>
      <c r="B396" t="s">
        <v>28</v>
      </c>
      <c r="C396" t="s">
        <v>55</v>
      </c>
      <c r="D396" s="24">
        <v>54664522</v>
      </c>
      <c r="E396" t="s">
        <v>56</v>
      </c>
      <c r="F396" s="28">
        <v>17.670000000000002</v>
      </c>
      <c r="G396" t="s">
        <v>57</v>
      </c>
      <c r="H396" s="25">
        <v>0.38124999999999998</v>
      </c>
    </row>
    <row r="397" spans="1:8">
      <c r="A397">
        <v>10391</v>
      </c>
      <c r="B397" t="s">
        <v>58</v>
      </c>
      <c r="C397" t="s">
        <v>59</v>
      </c>
      <c r="D397" s="24">
        <v>10325805</v>
      </c>
      <c r="E397" t="s">
        <v>56</v>
      </c>
      <c r="F397" s="28">
        <v>22.79</v>
      </c>
      <c r="G397" t="s">
        <v>61</v>
      </c>
      <c r="H397" s="25">
        <v>0</v>
      </c>
    </row>
    <row r="398" spans="1:8">
      <c r="A398">
        <v>10392</v>
      </c>
      <c r="B398" t="s">
        <v>28</v>
      </c>
      <c r="C398" t="s">
        <v>55</v>
      </c>
      <c r="D398" s="24">
        <v>28672617</v>
      </c>
      <c r="E398" t="s">
        <v>56</v>
      </c>
      <c r="F398" s="28">
        <v>24.8</v>
      </c>
      <c r="G398" t="s">
        <v>61</v>
      </c>
      <c r="H398" s="25">
        <v>0.75624999999999998</v>
      </c>
    </row>
    <row r="399" spans="1:8">
      <c r="A399">
        <v>10393</v>
      </c>
      <c r="B399" t="s">
        <v>19</v>
      </c>
      <c r="C399" t="s">
        <v>55</v>
      </c>
      <c r="D399" s="24">
        <v>21364705</v>
      </c>
      <c r="E399" t="s">
        <v>60</v>
      </c>
      <c r="F399" s="28">
        <v>15.27</v>
      </c>
      <c r="G399" t="s">
        <v>61</v>
      </c>
      <c r="H399" s="25">
        <v>0.33888888888888885</v>
      </c>
    </row>
    <row r="400" spans="1:8">
      <c r="A400">
        <v>10394</v>
      </c>
      <c r="B400" t="s">
        <v>58</v>
      </c>
      <c r="C400" t="s">
        <v>59</v>
      </c>
      <c r="D400" s="24">
        <v>44719881</v>
      </c>
      <c r="E400" t="s">
        <v>60</v>
      </c>
      <c r="F400" s="28">
        <v>18.739999999999998</v>
      </c>
      <c r="G400" t="s">
        <v>61</v>
      </c>
      <c r="H400" s="25">
        <v>0.94513888888888886</v>
      </c>
    </row>
    <row r="401" spans="1:8">
      <c r="A401">
        <v>10395</v>
      </c>
      <c r="B401" t="s">
        <v>58</v>
      </c>
      <c r="C401" t="s">
        <v>59</v>
      </c>
      <c r="D401" s="24">
        <v>42164058</v>
      </c>
      <c r="E401" t="s">
        <v>56</v>
      </c>
      <c r="F401" s="28">
        <v>16.47</v>
      </c>
      <c r="G401" t="s">
        <v>57</v>
      </c>
      <c r="H401" s="25">
        <v>0.85138888888888886</v>
      </c>
    </row>
    <row r="402" spans="1:8">
      <c r="A402">
        <v>10396</v>
      </c>
      <c r="B402" t="s">
        <v>58</v>
      </c>
      <c r="C402" t="s">
        <v>55</v>
      </c>
      <c r="D402" s="24">
        <v>68675115</v>
      </c>
      <c r="E402" t="s">
        <v>56</v>
      </c>
      <c r="F402" s="28">
        <v>18.11</v>
      </c>
      <c r="G402" t="s">
        <v>57</v>
      </c>
      <c r="H402" s="25">
        <v>0</v>
      </c>
    </row>
    <row r="403" spans="1:8">
      <c r="A403">
        <v>10397</v>
      </c>
      <c r="B403" t="s">
        <v>58</v>
      </c>
      <c r="C403" t="s">
        <v>55</v>
      </c>
      <c r="D403" s="24">
        <v>48712948</v>
      </c>
      <c r="E403" t="s">
        <v>56</v>
      </c>
      <c r="F403" s="28">
        <v>20.73</v>
      </c>
      <c r="G403" t="s">
        <v>57</v>
      </c>
      <c r="H403" s="25">
        <v>0.7402777777777777</v>
      </c>
    </row>
    <row r="404" spans="1:8">
      <c r="A404">
        <v>10398</v>
      </c>
      <c r="B404" t="s">
        <v>58</v>
      </c>
      <c r="C404" t="s">
        <v>59</v>
      </c>
      <c r="D404" s="24">
        <v>93152672</v>
      </c>
      <c r="E404" t="s">
        <v>56</v>
      </c>
      <c r="F404" s="28">
        <v>21.64</v>
      </c>
      <c r="G404" t="s">
        <v>57</v>
      </c>
      <c r="H404" s="25">
        <v>0.6743055555555556</v>
      </c>
    </row>
    <row r="405" spans="1:8">
      <c r="A405">
        <v>10399</v>
      </c>
      <c r="B405" t="s">
        <v>28</v>
      </c>
      <c r="C405" t="s">
        <v>59</v>
      </c>
      <c r="D405" s="24">
        <v>12824694</v>
      </c>
      <c r="E405" t="s">
        <v>56</v>
      </c>
      <c r="F405" s="28">
        <v>17.38</v>
      </c>
      <c r="G405" t="s">
        <v>61</v>
      </c>
      <c r="H405" s="25">
        <v>0.67638888888888893</v>
      </c>
    </row>
    <row r="406" spans="1:8">
      <c r="A406">
        <v>10400</v>
      </c>
      <c r="B406" t="s">
        <v>58</v>
      </c>
      <c r="C406" t="s">
        <v>59</v>
      </c>
      <c r="D406" s="24">
        <v>73484989</v>
      </c>
      <c r="E406" t="s">
        <v>56</v>
      </c>
      <c r="F406" s="28">
        <v>17.7</v>
      </c>
      <c r="G406" t="s">
        <v>57</v>
      </c>
      <c r="H406" s="25">
        <v>0.29652777777777778</v>
      </c>
    </row>
    <row r="407" spans="1:8">
      <c r="A407">
        <v>10401</v>
      </c>
      <c r="B407" t="s">
        <v>58</v>
      </c>
      <c r="C407" t="s">
        <v>59</v>
      </c>
      <c r="D407" s="24">
        <v>79418802</v>
      </c>
      <c r="E407" t="s">
        <v>56</v>
      </c>
      <c r="F407" s="28">
        <v>24.66</v>
      </c>
      <c r="G407" t="s">
        <v>61</v>
      </c>
      <c r="H407" s="25">
        <v>0.71319444444444446</v>
      </c>
    </row>
    <row r="408" spans="1:8">
      <c r="A408">
        <v>10402</v>
      </c>
      <c r="B408" t="s">
        <v>58</v>
      </c>
      <c r="C408" t="s">
        <v>59</v>
      </c>
      <c r="D408" s="24">
        <v>85598102</v>
      </c>
      <c r="E408" t="s">
        <v>56</v>
      </c>
      <c r="F408" s="28">
        <v>24.24</v>
      </c>
      <c r="G408" t="s">
        <v>57</v>
      </c>
      <c r="H408" s="25">
        <v>0.8027777777777777</v>
      </c>
    </row>
    <row r="409" spans="1:8">
      <c r="A409">
        <v>10403</v>
      </c>
      <c r="B409" t="s">
        <v>19</v>
      </c>
      <c r="C409" t="s">
        <v>55</v>
      </c>
      <c r="D409" s="24">
        <v>81254753</v>
      </c>
      <c r="E409" t="s">
        <v>60</v>
      </c>
      <c r="F409" s="28">
        <v>19.79</v>
      </c>
      <c r="G409" t="s">
        <v>61</v>
      </c>
      <c r="H409" s="25">
        <v>0.29652777777777778</v>
      </c>
    </row>
    <row r="410" spans="1:8">
      <c r="A410">
        <v>10404</v>
      </c>
      <c r="B410" t="s">
        <v>27</v>
      </c>
      <c r="C410" t="s">
        <v>59</v>
      </c>
      <c r="D410" s="24">
        <v>97869460</v>
      </c>
      <c r="E410" t="s">
        <v>56</v>
      </c>
      <c r="F410" s="28">
        <v>16.86</v>
      </c>
      <c r="G410" t="s">
        <v>57</v>
      </c>
      <c r="H410" s="25">
        <v>0.33888888888888885</v>
      </c>
    </row>
    <row r="411" spans="1:8">
      <c r="A411">
        <v>10405</v>
      </c>
      <c r="B411" t="s">
        <v>27</v>
      </c>
      <c r="C411" t="s">
        <v>59</v>
      </c>
      <c r="D411" s="24">
        <v>19446725</v>
      </c>
      <c r="E411" t="s">
        <v>56</v>
      </c>
      <c r="F411" s="28">
        <v>19.97</v>
      </c>
      <c r="G411" t="s">
        <v>57</v>
      </c>
      <c r="H411" s="25">
        <v>0.94236111111111109</v>
      </c>
    </row>
    <row r="412" spans="1:8">
      <c r="A412">
        <v>10406</v>
      </c>
      <c r="B412" t="s">
        <v>28</v>
      </c>
      <c r="C412" t="s">
        <v>59</v>
      </c>
      <c r="D412" s="24">
        <v>12075708</v>
      </c>
      <c r="E412" t="s">
        <v>56</v>
      </c>
      <c r="F412" s="28">
        <v>22.99</v>
      </c>
      <c r="G412" t="s">
        <v>61</v>
      </c>
      <c r="H412" s="25">
        <v>0.38124999999999998</v>
      </c>
    </row>
    <row r="413" spans="1:8">
      <c r="A413">
        <v>10407</v>
      </c>
      <c r="B413" t="s">
        <v>27</v>
      </c>
      <c r="C413" t="s">
        <v>59</v>
      </c>
      <c r="D413" s="24">
        <v>87645248</v>
      </c>
      <c r="E413" t="s">
        <v>56</v>
      </c>
      <c r="F413" s="28">
        <v>153.83000000000001</v>
      </c>
      <c r="G413" t="s">
        <v>61</v>
      </c>
      <c r="H413" s="25">
        <v>0.62986111111111109</v>
      </c>
    </row>
    <row r="414" spans="1:8">
      <c r="A414">
        <v>10408</v>
      </c>
      <c r="B414" t="s">
        <v>19</v>
      </c>
      <c r="C414" t="s">
        <v>59</v>
      </c>
      <c r="D414" s="24">
        <v>88351358</v>
      </c>
      <c r="E414" t="s">
        <v>56</v>
      </c>
      <c r="F414" s="28">
        <v>15.2</v>
      </c>
      <c r="G414" t="s">
        <v>57</v>
      </c>
      <c r="H414" s="25">
        <v>0.62708333333333333</v>
      </c>
    </row>
    <row r="415" spans="1:8">
      <c r="A415">
        <v>10409</v>
      </c>
      <c r="B415" t="s">
        <v>58</v>
      </c>
      <c r="C415" t="s">
        <v>59</v>
      </c>
      <c r="D415" s="24">
        <v>86741411</v>
      </c>
      <c r="E415" t="s">
        <v>56</v>
      </c>
      <c r="F415" s="28">
        <v>16.010000000000002</v>
      </c>
      <c r="G415" t="s">
        <v>57</v>
      </c>
      <c r="H415" s="25">
        <v>0.83472222222222225</v>
      </c>
    </row>
    <row r="416" spans="1:8">
      <c r="A416">
        <v>10410</v>
      </c>
      <c r="B416" t="s">
        <v>58</v>
      </c>
      <c r="C416" t="s">
        <v>55</v>
      </c>
      <c r="D416" s="24">
        <v>85689748</v>
      </c>
      <c r="E416" t="s">
        <v>56</v>
      </c>
      <c r="F416" s="28">
        <v>18.88</v>
      </c>
      <c r="G416" t="s">
        <v>57</v>
      </c>
      <c r="H416" s="25">
        <v>0.74791666666666667</v>
      </c>
    </row>
    <row r="417" spans="1:8">
      <c r="A417">
        <v>10411</v>
      </c>
      <c r="B417" t="s">
        <v>19</v>
      </c>
      <c r="C417" t="s">
        <v>59</v>
      </c>
      <c r="D417" s="24">
        <v>39676844</v>
      </c>
      <c r="E417" t="s">
        <v>60</v>
      </c>
      <c r="F417" s="28">
        <v>21.54</v>
      </c>
      <c r="G417" t="s">
        <v>61</v>
      </c>
      <c r="H417" s="25">
        <v>0.81736111111111109</v>
      </c>
    </row>
    <row r="418" spans="1:8">
      <c r="A418">
        <v>10412</v>
      </c>
      <c r="B418" t="s">
        <v>28</v>
      </c>
      <c r="C418" t="s">
        <v>59</v>
      </c>
      <c r="D418" s="24">
        <v>59845402</v>
      </c>
      <c r="E418" t="s">
        <v>56</v>
      </c>
      <c r="F418" s="28">
        <v>24.11</v>
      </c>
      <c r="G418" t="s">
        <v>61</v>
      </c>
      <c r="H418" s="25">
        <v>0</v>
      </c>
    </row>
    <row r="419" spans="1:8">
      <c r="A419">
        <v>10413</v>
      </c>
      <c r="B419" t="s">
        <v>27</v>
      </c>
      <c r="C419" t="s">
        <v>55</v>
      </c>
      <c r="D419" s="24">
        <v>39267241</v>
      </c>
      <c r="E419" t="s">
        <v>56</v>
      </c>
      <c r="F419" s="28">
        <v>21.43</v>
      </c>
      <c r="G419" t="s">
        <v>61</v>
      </c>
      <c r="H419" s="25">
        <v>0.33888888888888885</v>
      </c>
    </row>
    <row r="420" spans="1:8">
      <c r="A420">
        <v>10414</v>
      </c>
      <c r="B420" t="s">
        <v>27</v>
      </c>
      <c r="C420" t="s">
        <v>59</v>
      </c>
      <c r="D420" s="24">
        <v>82025542</v>
      </c>
      <c r="E420" t="s">
        <v>56</v>
      </c>
      <c r="F420" s="28">
        <v>24.8</v>
      </c>
      <c r="G420" t="s">
        <v>57</v>
      </c>
      <c r="H420" s="25">
        <v>0</v>
      </c>
    </row>
    <row r="421" spans="1:8">
      <c r="A421">
        <v>10415</v>
      </c>
      <c r="B421" t="s">
        <v>58</v>
      </c>
      <c r="C421" t="s">
        <v>59</v>
      </c>
      <c r="D421" s="24">
        <v>16559991</v>
      </c>
      <c r="E421" t="s">
        <v>56</v>
      </c>
      <c r="F421" s="28">
        <v>19.760000000000002</v>
      </c>
      <c r="G421" t="s">
        <v>57</v>
      </c>
      <c r="H421" s="25">
        <v>0.84375</v>
      </c>
    </row>
    <row r="422" spans="1:8">
      <c r="A422">
        <v>10416</v>
      </c>
      <c r="B422" t="s">
        <v>27</v>
      </c>
      <c r="C422" t="s">
        <v>59</v>
      </c>
      <c r="D422" s="24">
        <v>80278554</v>
      </c>
      <c r="E422" t="s">
        <v>56</v>
      </c>
      <c r="F422" s="28">
        <v>23.97</v>
      </c>
      <c r="G422" t="s">
        <v>57</v>
      </c>
      <c r="H422" s="25">
        <v>0.77708333333333324</v>
      </c>
    </row>
    <row r="423" spans="1:8">
      <c r="A423">
        <v>10417</v>
      </c>
      <c r="B423" t="s">
        <v>27</v>
      </c>
      <c r="C423" t="s">
        <v>59</v>
      </c>
      <c r="D423" s="24">
        <v>30257860</v>
      </c>
      <c r="E423" t="s">
        <v>56</v>
      </c>
      <c r="F423" s="28">
        <v>19.96</v>
      </c>
      <c r="G423" t="s">
        <v>57</v>
      </c>
      <c r="H423" s="25">
        <v>0.47569444444444442</v>
      </c>
    </row>
    <row r="424" spans="1:8">
      <c r="A424">
        <v>10418</v>
      </c>
      <c r="B424" t="s">
        <v>58</v>
      </c>
      <c r="C424" t="s">
        <v>59</v>
      </c>
      <c r="D424" s="24">
        <v>46744434</v>
      </c>
      <c r="E424" t="s">
        <v>56</v>
      </c>
      <c r="F424" s="28">
        <v>18.190000000000001</v>
      </c>
      <c r="G424" t="s">
        <v>61</v>
      </c>
      <c r="H424" s="25">
        <v>4.2361111111111106E-2</v>
      </c>
    </row>
    <row r="425" spans="1:8">
      <c r="A425">
        <v>10419</v>
      </c>
      <c r="B425" t="s">
        <v>28</v>
      </c>
      <c r="C425" t="s">
        <v>59</v>
      </c>
      <c r="D425" s="24">
        <v>49155614</v>
      </c>
      <c r="E425" t="s">
        <v>56</v>
      </c>
      <c r="F425" s="28">
        <v>17.28</v>
      </c>
      <c r="G425" t="s">
        <v>57</v>
      </c>
      <c r="H425" s="25">
        <v>0.65625</v>
      </c>
    </row>
    <row r="426" spans="1:8">
      <c r="A426">
        <v>10420</v>
      </c>
      <c r="B426" t="s">
        <v>58</v>
      </c>
      <c r="C426" t="s">
        <v>59</v>
      </c>
      <c r="D426" s="24">
        <v>53795790</v>
      </c>
      <c r="E426" t="s">
        <v>56</v>
      </c>
      <c r="F426" s="28">
        <v>24.84</v>
      </c>
      <c r="G426" t="s">
        <v>61</v>
      </c>
      <c r="H426" s="25">
        <v>0.33888888888888885</v>
      </c>
    </row>
    <row r="427" spans="1:8">
      <c r="A427">
        <v>10421</v>
      </c>
      <c r="B427" t="s">
        <v>19</v>
      </c>
      <c r="C427" t="s">
        <v>55</v>
      </c>
      <c r="D427" s="24">
        <v>75332091</v>
      </c>
      <c r="E427" t="s">
        <v>60</v>
      </c>
      <c r="F427" s="28">
        <v>16.32</v>
      </c>
      <c r="G427" t="s">
        <v>61</v>
      </c>
      <c r="H427" s="25">
        <v>0.57638888888888895</v>
      </c>
    </row>
    <row r="428" spans="1:8">
      <c r="A428">
        <v>10422</v>
      </c>
      <c r="B428" t="s">
        <v>27</v>
      </c>
      <c r="C428" t="s">
        <v>59</v>
      </c>
      <c r="D428" s="24">
        <v>83194866</v>
      </c>
      <c r="E428" t="s">
        <v>56</v>
      </c>
      <c r="F428" s="28">
        <v>23.47</v>
      </c>
      <c r="G428" t="s">
        <v>61</v>
      </c>
      <c r="H428" s="25">
        <v>0.70833333333333337</v>
      </c>
    </row>
    <row r="429" spans="1:8">
      <c r="A429">
        <v>10423</v>
      </c>
      <c r="B429" t="s">
        <v>58</v>
      </c>
      <c r="C429" t="s">
        <v>59</v>
      </c>
      <c r="D429" s="24">
        <v>33911548</v>
      </c>
      <c r="E429" t="s">
        <v>60</v>
      </c>
      <c r="F429" s="28">
        <v>16.649999999999999</v>
      </c>
      <c r="G429" t="s">
        <v>61</v>
      </c>
      <c r="H429" s="25">
        <v>0.80486111111111114</v>
      </c>
    </row>
    <row r="430" spans="1:8">
      <c r="A430">
        <v>10424</v>
      </c>
      <c r="B430" t="s">
        <v>28</v>
      </c>
      <c r="C430" t="s">
        <v>55</v>
      </c>
      <c r="D430" s="24">
        <v>20917768</v>
      </c>
      <c r="E430" t="s">
        <v>56</v>
      </c>
      <c r="F430" s="28">
        <v>22.64</v>
      </c>
      <c r="G430" t="s">
        <v>61</v>
      </c>
      <c r="H430" s="25">
        <v>0.49513888888888885</v>
      </c>
    </row>
    <row r="431" spans="1:8">
      <c r="A431">
        <v>10425</v>
      </c>
      <c r="B431" t="s">
        <v>27</v>
      </c>
      <c r="C431" t="s">
        <v>59</v>
      </c>
      <c r="D431" s="24">
        <v>63888401</v>
      </c>
      <c r="E431" t="s">
        <v>56</v>
      </c>
      <c r="F431" s="28">
        <v>16.66</v>
      </c>
      <c r="G431" t="s">
        <v>61</v>
      </c>
      <c r="H431" s="25">
        <v>8.4722222222222213E-2</v>
      </c>
    </row>
    <row r="432" spans="1:8">
      <c r="A432">
        <v>10426</v>
      </c>
      <c r="B432" t="s">
        <v>27</v>
      </c>
      <c r="C432" t="s">
        <v>59</v>
      </c>
      <c r="D432" s="24">
        <v>99361092</v>
      </c>
      <c r="E432" t="s">
        <v>60</v>
      </c>
      <c r="F432" s="28">
        <v>21.78</v>
      </c>
      <c r="G432" t="s">
        <v>61</v>
      </c>
      <c r="H432" s="25">
        <v>0.59027777777777779</v>
      </c>
    </row>
    <row r="433" spans="1:8">
      <c r="A433">
        <v>10427</v>
      </c>
      <c r="B433" t="s">
        <v>58</v>
      </c>
      <c r="C433" t="s">
        <v>55</v>
      </c>
      <c r="D433" s="24">
        <v>39373058</v>
      </c>
      <c r="E433" t="s">
        <v>56</v>
      </c>
      <c r="F433" s="28">
        <v>21.29</v>
      </c>
      <c r="G433" t="s">
        <v>57</v>
      </c>
      <c r="H433" s="25">
        <v>0.59305555555555556</v>
      </c>
    </row>
    <row r="434" spans="1:8">
      <c r="A434">
        <v>10428</v>
      </c>
      <c r="B434" t="s">
        <v>27</v>
      </c>
      <c r="C434" t="s">
        <v>55</v>
      </c>
      <c r="D434" s="24">
        <v>91945826</v>
      </c>
      <c r="E434" t="s">
        <v>56</v>
      </c>
      <c r="F434" s="28">
        <v>160.78</v>
      </c>
      <c r="G434" t="s">
        <v>61</v>
      </c>
      <c r="H434" s="25">
        <v>0.61597222222222225</v>
      </c>
    </row>
    <row r="435" spans="1:8">
      <c r="A435">
        <v>10429</v>
      </c>
      <c r="B435" t="s">
        <v>58</v>
      </c>
      <c r="C435" t="s">
        <v>59</v>
      </c>
      <c r="D435" s="24">
        <v>39442197</v>
      </c>
      <c r="E435" t="s">
        <v>56</v>
      </c>
      <c r="F435" s="28">
        <v>21.1</v>
      </c>
      <c r="G435" t="s">
        <v>61</v>
      </c>
      <c r="H435" s="25">
        <v>0.60972222222222217</v>
      </c>
    </row>
    <row r="436" spans="1:8">
      <c r="A436">
        <v>10430</v>
      </c>
      <c r="B436" t="s">
        <v>28</v>
      </c>
      <c r="C436" t="s">
        <v>59</v>
      </c>
      <c r="D436" s="24">
        <v>96995760</v>
      </c>
      <c r="E436" t="s">
        <v>56</v>
      </c>
      <c r="F436" s="28">
        <v>169.79</v>
      </c>
      <c r="G436" t="s">
        <v>61</v>
      </c>
      <c r="H436" s="25">
        <v>0.84236111111111101</v>
      </c>
    </row>
    <row r="437" spans="1:8">
      <c r="A437">
        <v>10431</v>
      </c>
      <c r="B437" t="s">
        <v>58</v>
      </c>
      <c r="C437" t="s">
        <v>55</v>
      </c>
      <c r="D437" s="24">
        <v>99830378</v>
      </c>
      <c r="E437" t="s">
        <v>56</v>
      </c>
      <c r="F437" s="28">
        <v>16.989999999999998</v>
      </c>
      <c r="G437" t="s">
        <v>61</v>
      </c>
      <c r="H437" s="25">
        <v>0.12708333333333333</v>
      </c>
    </row>
    <row r="438" spans="1:8">
      <c r="A438">
        <v>10432</v>
      </c>
      <c r="B438" t="s">
        <v>27</v>
      </c>
      <c r="C438" t="s">
        <v>59</v>
      </c>
      <c r="D438" s="24">
        <v>97898924</v>
      </c>
      <c r="E438" t="s">
        <v>60</v>
      </c>
      <c r="F438" s="28">
        <v>23.64</v>
      </c>
      <c r="G438" t="s">
        <v>57</v>
      </c>
      <c r="H438" s="25">
        <v>0.33888888888888885</v>
      </c>
    </row>
    <row r="439" spans="1:8">
      <c r="A439">
        <v>10433</v>
      </c>
      <c r="B439" t="s">
        <v>27</v>
      </c>
      <c r="C439" t="s">
        <v>59</v>
      </c>
      <c r="D439" s="24">
        <v>48100304</v>
      </c>
      <c r="E439" t="s">
        <v>60</v>
      </c>
      <c r="F439" s="28">
        <v>18.920000000000002</v>
      </c>
      <c r="G439" t="s">
        <v>61</v>
      </c>
      <c r="H439" s="25">
        <v>0.55763888888888891</v>
      </c>
    </row>
    <row r="440" spans="1:8">
      <c r="A440">
        <v>10434</v>
      </c>
      <c r="B440" t="s">
        <v>58</v>
      </c>
      <c r="C440" t="s">
        <v>55</v>
      </c>
      <c r="D440" s="24">
        <v>61029935</v>
      </c>
      <c r="E440" t="s">
        <v>60</v>
      </c>
      <c r="F440" s="28">
        <v>23.96</v>
      </c>
      <c r="G440" t="s">
        <v>61</v>
      </c>
      <c r="H440" s="25">
        <v>0.29652777777777778</v>
      </c>
    </row>
    <row r="441" spans="1:8">
      <c r="A441">
        <v>10435</v>
      </c>
      <c r="B441" t="s">
        <v>19</v>
      </c>
      <c r="C441" t="s">
        <v>55</v>
      </c>
      <c r="D441" s="24">
        <v>74335115</v>
      </c>
      <c r="E441" t="s">
        <v>56</v>
      </c>
      <c r="F441" s="28">
        <v>18.53</v>
      </c>
      <c r="G441" t="s">
        <v>61</v>
      </c>
      <c r="H441" s="25">
        <v>0.88888888888888884</v>
      </c>
    </row>
    <row r="442" spans="1:8">
      <c r="A442">
        <v>10436</v>
      </c>
      <c r="B442" t="s">
        <v>58</v>
      </c>
      <c r="C442" t="s">
        <v>59</v>
      </c>
      <c r="D442" s="24">
        <v>94386287</v>
      </c>
      <c r="E442" t="s">
        <v>56</v>
      </c>
      <c r="F442" s="28">
        <v>24.44</v>
      </c>
      <c r="G442" t="s">
        <v>57</v>
      </c>
      <c r="H442" s="25">
        <v>0.21180555555555555</v>
      </c>
    </row>
    <row r="443" spans="1:8">
      <c r="A443">
        <v>10437</v>
      </c>
      <c r="B443" t="s">
        <v>19</v>
      </c>
      <c r="C443" t="s">
        <v>59</v>
      </c>
      <c r="D443" s="24">
        <v>94086275</v>
      </c>
      <c r="E443" t="s">
        <v>56</v>
      </c>
      <c r="F443" s="28">
        <v>21.81</v>
      </c>
      <c r="G443" t="s">
        <v>57</v>
      </c>
      <c r="H443" s="25">
        <v>0.21180555555555555</v>
      </c>
    </row>
    <row r="444" spans="1:8">
      <c r="A444">
        <v>10438</v>
      </c>
      <c r="B444" t="s">
        <v>19</v>
      </c>
      <c r="C444" t="s">
        <v>55</v>
      </c>
      <c r="D444" s="24">
        <v>59470574</v>
      </c>
      <c r="E444" t="s">
        <v>60</v>
      </c>
      <c r="F444" s="28">
        <v>18.25</v>
      </c>
      <c r="G444" t="s">
        <v>57</v>
      </c>
      <c r="H444" s="25">
        <v>0.66249999999999998</v>
      </c>
    </row>
    <row r="445" spans="1:8">
      <c r="A445">
        <v>10439</v>
      </c>
      <c r="B445" t="s">
        <v>28</v>
      </c>
      <c r="C445" t="s">
        <v>59</v>
      </c>
      <c r="D445" s="24">
        <v>20030922</v>
      </c>
      <c r="E445" t="s">
        <v>56</v>
      </c>
      <c r="F445" s="28">
        <v>17.420000000000002</v>
      </c>
      <c r="G445" t="s">
        <v>61</v>
      </c>
      <c r="H445" s="25">
        <v>4.2361111111111106E-2</v>
      </c>
    </row>
    <row r="446" spans="1:8">
      <c r="A446">
        <v>10440</v>
      </c>
      <c r="B446" t="s">
        <v>19</v>
      </c>
      <c r="C446" t="s">
        <v>59</v>
      </c>
      <c r="D446" s="24">
        <v>45769254</v>
      </c>
      <c r="E446" t="s">
        <v>56</v>
      </c>
      <c r="F446" s="28">
        <v>18.399999999999999</v>
      </c>
      <c r="G446" t="s">
        <v>61</v>
      </c>
      <c r="H446" s="25">
        <v>0.43402777777777773</v>
      </c>
    </row>
    <row r="447" spans="1:8">
      <c r="A447">
        <v>10441</v>
      </c>
      <c r="B447" t="s">
        <v>27</v>
      </c>
      <c r="C447" t="s">
        <v>55</v>
      </c>
      <c r="D447" s="24">
        <v>94775848</v>
      </c>
      <c r="E447" t="s">
        <v>60</v>
      </c>
      <c r="F447" s="28">
        <v>23.88</v>
      </c>
      <c r="G447" t="s">
        <v>57</v>
      </c>
      <c r="H447" s="25">
        <v>0.12708333333333333</v>
      </c>
    </row>
    <row r="448" spans="1:8">
      <c r="A448">
        <v>10442</v>
      </c>
      <c r="B448" t="s">
        <v>58</v>
      </c>
      <c r="C448" t="s">
        <v>59</v>
      </c>
      <c r="D448" s="24">
        <v>98078573</v>
      </c>
      <c r="E448" t="s">
        <v>56</v>
      </c>
      <c r="F448" s="28">
        <v>17.760000000000002</v>
      </c>
      <c r="G448" t="s">
        <v>61</v>
      </c>
      <c r="H448" s="25">
        <v>0.60902777777777783</v>
      </c>
    </row>
    <row r="449" spans="1:8">
      <c r="A449">
        <v>10443</v>
      </c>
      <c r="B449" t="s">
        <v>19</v>
      </c>
      <c r="C449" t="s">
        <v>59</v>
      </c>
      <c r="D449" s="24">
        <v>48152632</v>
      </c>
      <c r="E449" t="s">
        <v>60</v>
      </c>
      <c r="F449" s="28">
        <v>23.06</v>
      </c>
      <c r="G449" t="s">
        <v>61</v>
      </c>
      <c r="H449" s="25">
        <v>0.49791666666666662</v>
      </c>
    </row>
    <row r="450" spans="1:8">
      <c r="A450">
        <v>10444</v>
      </c>
      <c r="B450" t="s">
        <v>58</v>
      </c>
      <c r="C450" t="s">
        <v>55</v>
      </c>
      <c r="D450" s="24">
        <v>44336631</v>
      </c>
      <c r="E450" t="s">
        <v>56</v>
      </c>
      <c r="F450" s="28">
        <v>18.87</v>
      </c>
      <c r="G450" t="s">
        <v>61</v>
      </c>
      <c r="H450" s="25">
        <v>0.68958333333333333</v>
      </c>
    </row>
    <row r="451" spans="1:8">
      <c r="A451">
        <v>10445</v>
      </c>
      <c r="B451" t="s">
        <v>58</v>
      </c>
      <c r="C451" t="s">
        <v>59</v>
      </c>
      <c r="D451" s="24">
        <v>74850396</v>
      </c>
      <c r="E451" t="s">
        <v>56</v>
      </c>
      <c r="F451" s="28">
        <v>17.87</v>
      </c>
      <c r="G451" t="s">
        <v>57</v>
      </c>
      <c r="H451" s="25">
        <v>0.6743055555555556</v>
      </c>
    </row>
    <row r="452" spans="1:8">
      <c r="A452">
        <v>10446</v>
      </c>
      <c r="B452" t="s">
        <v>28</v>
      </c>
      <c r="C452" t="s">
        <v>59</v>
      </c>
      <c r="D452" s="24">
        <v>85688947</v>
      </c>
      <c r="E452" t="s">
        <v>56</v>
      </c>
      <c r="F452" s="28">
        <v>18.77</v>
      </c>
      <c r="G452" t="s">
        <v>61</v>
      </c>
      <c r="H452" s="25">
        <v>0.63124999999999998</v>
      </c>
    </row>
    <row r="453" spans="1:8">
      <c r="A453">
        <v>10447</v>
      </c>
      <c r="B453" t="s">
        <v>27</v>
      </c>
      <c r="C453" t="s">
        <v>59</v>
      </c>
      <c r="D453" s="24">
        <v>83549993</v>
      </c>
      <c r="E453" t="s">
        <v>56</v>
      </c>
      <c r="F453" s="28">
        <v>18.600000000000001</v>
      </c>
      <c r="G453" t="s">
        <v>57</v>
      </c>
      <c r="H453" s="25">
        <v>0</v>
      </c>
    </row>
    <row r="454" spans="1:8">
      <c r="A454">
        <v>10448</v>
      </c>
      <c r="B454" t="s">
        <v>27</v>
      </c>
      <c r="C454" t="s">
        <v>59</v>
      </c>
      <c r="D454" s="24">
        <v>62629771</v>
      </c>
      <c r="E454" t="s">
        <v>56</v>
      </c>
      <c r="F454" s="28">
        <v>152.27000000000001</v>
      </c>
      <c r="G454" t="s">
        <v>61</v>
      </c>
      <c r="H454" s="25">
        <v>0.25416666666666665</v>
      </c>
    </row>
    <row r="455" spans="1:8">
      <c r="A455">
        <v>10449</v>
      </c>
      <c r="B455" t="s">
        <v>27</v>
      </c>
      <c r="C455" t="s">
        <v>59</v>
      </c>
      <c r="D455" s="24">
        <v>76032910</v>
      </c>
      <c r="E455" t="s">
        <v>56</v>
      </c>
      <c r="F455" s="28">
        <v>20.83</v>
      </c>
      <c r="G455" t="s">
        <v>61</v>
      </c>
      <c r="H455" s="25">
        <v>0.69861111111111107</v>
      </c>
    </row>
    <row r="456" spans="1:8">
      <c r="A456">
        <v>10450</v>
      </c>
      <c r="B456" t="s">
        <v>58</v>
      </c>
      <c r="C456" t="s">
        <v>59</v>
      </c>
      <c r="D456" s="24">
        <v>78837536</v>
      </c>
      <c r="E456" t="s">
        <v>60</v>
      </c>
      <c r="F456" s="28">
        <v>21.47</v>
      </c>
      <c r="G456" t="s">
        <v>61</v>
      </c>
      <c r="H456" s="25">
        <v>0.74444444444444446</v>
      </c>
    </row>
    <row r="457" spans="1:8">
      <c r="A457">
        <v>10451</v>
      </c>
      <c r="B457" t="s">
        <v>58</v>
      </c>
      <c r="C457" t="s">
        <v>59</v>
      </c>
      <c r="D457" s="24">
        <v>61532595</v>
      </c>
      <c r="E457" t="s">
        <v>56</v>
      </c>
      <c r="F457" s="28">
        <v>218.6</v>
      </c>
      <c r="G457" t="s">
        <v>61</v>
      </c>
      <c r="H457" s="25">
        <v>0.5229166666666667</v>
      </c>
    </row>
    <row r="458" spans="1:8">
      <c r="A458">
        <v>10452</v>
      </c>
      <c r="B458" t="s">
        <v>27</v>
      </c>
      <c r="C458" t="s">
        <v>55</v>
      </c>
      <c r="D458" s="24">
        <v>50289683</v>
      </c>
      <c r="E458" t="s">
        <v>56</v>
      </c>
      <c r="F458" s="28">
        <v>163.37</v>
      </c>
      <c r="G458" t="s">
        <v>61</v>
      </c>
      <c r="H458" s="25">
        <v>0.70486111111111116</v>
      </c>
    </row>
    <row r="459" spans="1:8">
      <c r="A459">
        <v>10453</v>
      </c>
      <c r="B459" t="s">
        <v>27</v>
      </c>
      <c r="C459" t="s">
        <v>55</v>
      </c>
      <c r="D459" s="24">
        <v>56319779</v>
      </c>
      <c r="E459" t="s">
        <v>56</v>
      </c>
      <c r="F459" s="28">
        <v>24.78</v>
      </c>
      <c r="G459" t="s">
        <v>61</v>
      </c>
      <c r="H459" s="25">
        <v>0.91388888888888886</v>
      </c>
    </row>
    <row r="460" spans="1:8">
      <c r="A460">
        <v>10454</v>
      </c>
      <c r="B460" t="s">
        <v>58</v>
      </c>
      <c r="C460" t="s">
        <v>59</v>
      </c>
      <c r="D460" s="24">
        <v>26242351</v>
      </c>
      <c r="E460" t="s">
        <v>56</v>
      </c>
      <c r="F460" s="28">
        <v>17.010000000000002</v>
      </c>
      <c r="G460" t="s">
        <v>61</v>
      </c>
      <c r="H460" s="25">
        <v>0.29652777777777778</v>
      </c>
    </row>
    <row r="461" spans="1:8">
      <c r="A461">
        <v>10455</v>
      </c>
      <c r="B461" t="s">
        <v>19</v>
      </c>
      <c r="C461" t="s">
        <v>59</v>
      </c>
      <c r="D461" s="24">
        <v>80577738</v>
      </c>
      <c r="E461" t="s">
        <v>56</v>
      </c>
      <c r="F461" s="28">
        <v>231.23</v>
      </c>
      <c r="G461" t="s">
        <v>61</v>
      </c>
      <c r="H461" s="25">
        <v>0.85138888888888886</v>
      </c>
    </row>
    <row r="462" spans="1:8">
      <c r="A462">
        <v>10456</v>
      </c>
      <c r="B462" t="s">
        <v>28</v>
      </c>
      <c r="C462" t="s">
        <v>59</v>
      </c>
      <c r="D462" s="24">
        <v>81079401</v>
      </c>
      <c r="E462" t="s">
        <v>56</v>
      </c>
      <c r="F462" s="28">
        <v>22.57</v>
      </c>
      <c r="G462" t="s">
        <v>57</v>
      </c>
      <c r="H462" s="25">
        <v>0.62638888888888888</v>
      </c>
    </row>
    <row r="463" spans="1:8">
      <c r="A463">
        <v>10457</v>
      </c>
      <c r="B463" t="s">
        <v>58</v>
      </c>
      <c r="C463" t="s">
        <v>55</v>
      </c>
      <c r="D463" s="24">
        <v>17165782</v>
      </c>
      <c r="E463" t="s">
        <v>56</v>
      </c>
      <c r="F463" s="28">
        <v>24.16</v>
      </c>
      <c r="G463" t="s">
        <v>57</v>
      </c>
      <c r="H463" s="25">
        <v>0.4597222222222222</v>
      </c>
    </row>
    <row r="464" spans="1:8">
      <c r="A464">
        <v>10458</v>
      </c>
      <c r="B464" t="s">
        <v>19</v>
      </c>
      <c r="C464" t="s">
        <v>55</v>
      </c>
      <c r="D464" s="24">
        <v>90636722</v>
      </c>
      <c r="E464" t="s">
        <v>56</v>
      </c>
      <c r="F464" s="28">
        <v>20.68</v>
      </c>
      <c r="G464" t="s">
        <v>61</v>
      </c>
      <c r="H464" s="25">
        <v>0.91041666666666676</v>
      </c>
    </row>
    <row r="465" spans="1:8">
      <c r="A465">
        <v>10459</v>
      </c>
      <c r="B465" t="s">
        <v>19</v>
      </c>
      <c r="C465" t="s">
        <v>55</v>
      </c>
      <c r="D465" s="24">
        <v>43626259</v>
      </c>
      <c r="E465" t="s">
        <v>56</v>
      </c>
      <c r="F465" s="28">
        <v>21.2</v>
      </c>
      <c r="G465" t="s">
        <v>57</v>
      </c>
      <c r="H465" s="25">
        <v>0.29652777777777778</v>
      </c>
    </row>
    <row r="466" spans="1:8">
      <c r="A466">
        <v>10460</v>
      </c>
      <c r="B466" t="s">
        <v>58</v>
      </c>
      <c r="C466" t="s">
        <v>59</v>
      </c>
      <c r="D466" s="24">
        <v>61496170</v>
      </c>
      <c r="E466" t="s">
        <v>56</v>
      </c>
      <c r="F466" s="28">
        <v>247.14</v>
      </c>
      <c r="G466" t="s">
        <v>61</v>
      </c>
      <c r="H466" s="25">
        <v>0.71944444444444444</v>
      </c>
    </row>
    <row r="467" spans="1:8">
      <c r="A467">
        <v>10461</v>
      </c>
      <c r="B467" t="s">
        <v>19</v>
      </c>
      <c r="C467" t="s">
        <v>59</v>
      </c>
      <c r="D467" s="24">
        <v>16101751</v>
      </c>
      <c r="E467" t="s">
        <v>56</v>
      </c>
      <c r="F467" s="28">
        <v>19.100000000000001</v>
      </c>
      <c r="G467" t="s">
        <v>61</v>
      </c>
      <c r="H467" s="25">
        <v>0.5444444444444444</v>
      </c>
    </row>
    <row r="468" spans="1:8">
      <c r="A468">
        <v>10462</v>
      </c>
      <c r="B468" t="s">
        <v>19</v>
      </c>
      <c r="C468" t="s">
        <v>55</v>
      </c>
      <c r="D468" s="24">
        <v>55348039</v>
      </c>
      <c r="E468" t="s">
        <v>56</v>
      </c>
      <c r="F468" s="28">
        <v>19.02</v>
      </c>
      <c r="G468" t="s">
        <v>57</v>
      </c>
      <c r="H468" s="25">
        <v>0.92152777777777783</v>
      </c>
    </row>
    <row r="469" spans="1:8">
      <c r="A469">
        <v>10463</v>
      </c>
      <c r="B469" t="s">
        <v>28</v>
      </c>
      <c r="C469" t="s">
        <v>59</v>
      </c>
      <c r="D469" s="24">
        <v>50785284</v>
      </c>
      <c r="E469" t="s">
        <v>56</v>
      </c>
      <c r="F469" s="28">
        <v>19.66</v>
      </c>
      <c r="G469" t="s">
        <v>61</v>
      </c>
      <c r="H469" s="25">
        <v>4.2361111111111106E-2</v>
      </c>
    </row>
    <row r="470" spans="1:8">
      <c r="A470">
        <v>10464</v>
      </c>
      <c r="B470" t="s">
        <v>58</v>
      </c>
      <c r="C470" t="s">
        <v>59</v>
      </c>
      <c r="D470" s="24">
        <v>92997267</v>
      </c>
      <c r="E470" t="s">
        <v>60</v>
      </c>
      <c r="F470" s="28">
        <v>168.1</v>
      </c>
      <c r="G470" t="s">
        <v>61</v>
      </c>
      <c r="H470" s="25">
        <v>0.68194444444444446</v>
      </c>
    </row>
    <row r="471" spans="1:8">
      <c r="A471">
        <v>10465</v>
      </c>
      <c r="B471" t="s">
        <v>58</v>
      </c>
      <c r="C471" t="s">
        <v>59</v>
      </c>
      <c r="D471" s="24">
        <v>30255549</v>
      </c>
      <c r="E471" t="s">
        <v>56</v>
      </c>
      <c r="F471" s="28">
        <v>16.829999999999998</v>
      </c>
      <c r="G471" t="s">
        <v>61</v>
      </c>
      <c r="H471" s="25">
        <v>0.33888888888888885</v>
      </c>
    </row>
    <row r="472" spans="1:8">
      <c r="A472">
        <v>10466</v>
      </c>
      <c r="B472" t="s">
        <v>28</v>
      </c>
      <c r="C472" t="s">
        <v>59</v>
      </c>
      <c r="D472" s="24">
        <v>85660114</v>
      </c>
      <c r="E472" t="s">
        <v>60</v>
      </c>
      <c r="F472" s="28">
        <v>23.89</v>
      </c>
      <c r="G472" t="s">
        <v>61</v>
      </c>
      <c r="H472" s="25">
        <v>0</v>
      </c>
    </row>
    <row r="473" spans="1:8">
      <c r="A473">
        <v>10467</v>
      </c>
      <c r="B473" t="s">
        <v>19</v>
      </c>
      <c r="C473" t="s">
        <v>59</v>
      </c>
      <c r="D473" s="24">
        <v>43913307</v>
      </c>
      <c r="E473" t="s">
        <v>56</v>
      </c>
      <c r="F473" s="28">
        <v>16.73</v>
      </c>
      <c r="G473" t="s">
        <v>57</v>
      </c>
      <c r="H473" s="25">
        <v>0.80555555555555547</v>
      </c>
    </row>
    <row r="474" spans="1:8">
      <c r="A474">
        <v>10468</v>
      </c>
      <c r="B474" t="s">
        <v>19</v>
      </c>
      <c r="C474" t="s">
        <v>59</v>
      </c>
      <c r="D474" s="24">
        <v>47286881</v>
      </c>
      <c r="E474" t="s">
        <v>60</v>
      </c>
      <c r="F474" s="28">
        <v>22.05</v>
      </c>
      <c r="G474" t="s">
        <v>57</v>
      </c>
      <c r="H474" s="25">
        <v>0.43541666666666662</v>
      </c>
    </row>
    <row r="475" spans="1:8">
      <c r="A475">
        <v>10469</v>
      </c>
      <c r="B475" t="s">
        <v>27</v>
      </c>
      <c r="C475" t="s">
        <v>55</v>
      </c>
      <c r="D475" s="24">
        <v>62265606</v>
      </c>
      <c r="E475" t="s">
        <v>60</v>
      </c>
      <c r="F475" s="28">
        <v>17.88</v>
      </c>
      <c r="G475" t="s">
        <v>61</v>
      </c>
      <c r="H475" s="25">
        <v>0.25416666666666665</v>
      </c>
    </row>
    <row r="476" spans="1:8">
      <c r="A476">
        <v>10470</v>
      </c>
      <c r="B476" t="s">
        <v>58</v>
      </c>
      <c r="C476" t="s">
        <v>59</v>
      </c>
      <c r="D476" s="24">
        <v>63133211</v>
      </c>
      <c r="E476" t="s">
        <v>60</v>
      </c>
      <c r="F476" s="28">
        <v>15.18</v>
      </c>
      <c r="G476" t="s">
        <v>57</v>
      </c>
      <c r="H476" s="25">
        <v>0.80902777777777779</v>
      </c>
    </row>
    <row r="477" spans="1:8">
      <c r="A477">
        <v>10471</v>
      </c>
      <c r="B477" t="s">
        <v>58</v>
      </c>
      <c r="C477" t="s">
        <v>55</v>
      </c>
      <c r="D477" s="24">
        <v>24646414</v>
      </c>
      <c r="E477" t="s">
        <v>56</v>
      </c>
      <c r="F477" s="28">
        <v>15.62</v>
      </c>
      <c r="G477" t="s">
        <v>57</v>
      </c>
      <c r="H477" s="25">
        <v>0.12708333333333333</v>
      </c>
    </row>
    <row r="478" spans="1:8">
      <c r="A478">
        <v>10472</v>
      </c>
      <c r="B478" t="s">
        <v>27</v>
      </c>
      <c r="C478" t="s">
        <v>59</v>
      </c>
      <c r="D478" s="24">
        <v>65043803</v>
      </c>
      <c r="E478" t="s">
        <v>56</v>
      </c>
      <c r="F478" s="28">
        <v>20.58</v>
      </c>
      <c r="G478" t="s">
        <v>57</v>
      </c>
      <c r="H478" s="25">
        <v>0.75138888888888899</v>
      </c>
    </row>
    <row r="479" spans="1:8">
      <c r="H479"/>
    </row>
    <row r="480" spans="1:8">
      <c r="H480"/>
    </row>
    <row r="481" spans="8:8">
      <c r="H481"/>
    </row>
    <row r="482" spans="8:8">
      <c r="H482"/>
    </row>
    <row r="483" spans="8:8">
      <c r="H483"/>
    </row>
    <row r="484" spans="8:8">
      <c r="H484"/>
    </row>
    <row r="485" spans="8:8">
      <c r="H485"/>
    </row>
    <row r="486" spans="8:8">
      <c r="H486"/>
    </row>
    <row r="487" spans="8:8">
      <c r="H487"/>
    </row>
    <row r="488" spans="8:8">
      <c r="H488"/>
    </row>
    <row r="489" spans="8:8">
      <c r="H489"/>
    </row>
    <row r="490" spans="8:8">
      <c r="H490"/>
    </row>
    <row r="491" spans="8:8">
      <c r="H491"/>
    </row>
    <row r="492" spans="8:8">
      <c r="H492"/>
    </row>
    <row r="493" spans="8:8">
      <c r="H493"/>
    </row>
    <row r="494" spans="8:8">
      <c r="H494"/>
    </row>
    <row r="495" spans="8:8">
      <c r="H495"/>
    </row>
    <row r="496" spans="8:8">
      <c r="H496"/>
    </row>
    <row r="497" spans="8:8">
      <c r="H497"/>
    </row>
    <row r="498" spans="8:8">
      <c r="H498"/>
    </row>
    <row r="499" spans="8:8">
      <c r="H499"/>
    </row>
    <row r="500" spans="8:8">
      <c r="H500"/>
    </row>
    <row r="501" spans="8:8">
      <c r="H501"/>
    </row>
    <row r="502" spans="8:8">
      <c r="H502"/>
    </row>
    <row r="503" spans="8:8">
      <c r="H503"/>
    </row>
    <row r="504" spans="8:8">
      <c r="H504"/>
    </row>
    <row r="505" spans="8:8">
      <c r="H505"/>
    </row>
    <row r="506" spans="8:8">
      <c r="H506"/>
    </row>
    <row r="507" spans="8:8">
      <c r="H507"/>
    </row>
    <row r="508" spans="8:8">
      <c r="H508"/>
    </row>
    <row r="509" spans="8:8">
      <c r="H509"/>
    </row>
    <row r="510" spans="8:8">
      <c r="H510"/>
    </row>
    <row r="511" spans="8:8">
      <c r="H511"/>
    </row>
    <row r="512" spans="8:8">
      <c r="H512"/>
    </row>
    <row r="513" spans="6:8">
      <c r="H513"/>
    </row>
    <row r="514" spans="6:8">
      <c r="H514"/>
    </row>
    <row r="515" spans="6:8">
      <c r="H515"/>
    </row>
    <row r="516" spans="6:8">
      <c r="H516"/>
    </row>
    <row r="517" spans="6:8">
      <c r="F517" s="28"/>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34865-20D3-4597-BBEF-73BD1E24E745}">
  <dimension ref="A1:O45"/>
  <sheetViews>
    <sheetView topLeftCell="A45" zoomScale="82" workbookViewId="0">
      <selection activeCell="R9" sqref="R9"/>
    </sheetView>
  </sheetViews>
  <sheetFormatPr defaultRowHeight="15"/>
  <sheetData>
    <row r="1" spans="1:15">
      <c r="A1" s="5" t="s">
        <v>0</v>
      </c>
    </row>
    <row r="2" spans="1:15">
      <c r="A2" s="5" t="s">
        <v>67</v>
      </c>
    </row>
    <row r="3" spans="1:15">
      <c r="B3" s="150" t="s">
        <v>68</v>
      </c>
      <c r="C3" s="150"/>
      <c r="D3" s="150"/>
      <c r="E3" s="150"/>
      <c r="F3" s="150"/>
      <c r="G3" s="150"/>
      <c r="H3" s="150"/>
      <c r="I3" s="150"/>
      <c r="J3" s="150"/>
      <c r="K3" s="150"/>
      <c r="L3" s="150"/>
      <c r="M3" s="150"/>
      <c r="N3" s="150"/>
      <c r="O3" s="150"/>
    </row>
    <row r="4" spans="1:15">
      <c r="B4" s="150"/>
      <c r="C4" s="150"/>
      <c r="D4" s="150"/>
      <c r="E4" s="150"/>
      <c r="F4" s="150"/>
      <c r="G4" s="150"/>
      <c r="H4" s="150"/>
      <c r="I4" s="150"/>
      <c r="J4" s="150"/>
      <c r="K4" s="150"/>
      <c r="L4" s="150"/>
      <c r="M4" s="150"/>
      <c r="N4" s="150"/>
      <c r="O4" s="150"/>
    </row>
    <row r="5" spans="1:15">
      <c r="B5" s="150"/>
      <c r="C5" s="150"/>
      <c r="D5" s="150"/>
      <c r="E5" s="150"/>
      <c r="F5" s="150"/>
      <c r="G5" s="150"/>
      <c r="H5" s="150"/>
      <c r="I5" s="150"/>
      <c r="J5" s="150"/>
      <c r="K5" s="150"/>
      <c r="L5" s="150"/>
      <c r="M5" s="150"/>
      <c r="N5" s="150"/>
      <c r="O5" s="150"/>
    </row>
    <row r="6" spans="1:15">
      <c r="B6" s="150"/>
      <c r="C6" s="150"/>
      <c r="D6" s="150"/>
      <c r="E6" s="150"/>
      <c r="F6" s="150"/>
      <c r="G6" s="150"/>
      <c r="H6" s="150"/>
      <c r="I6" s="150"/>
      <c r="J6" s="150"/>
      <c r="K6" s="150"/>
      <c r="L6" s="150"/>
      <c r="M6" s="150"/>
      <c r="N6" s="150"/>
      <c r="O6" s="150"/>
    </row>
    <row r="7" spans="1:15">
      <c r="B7" s="150"/>
      <c r="C7" s="150"/>
      <c r="D7" s="150"/>
      <c r="E7" s="150"/>
      <c r="F7" s="150"/>
      <c r="G7" s="150"/>
      <c r="H7" s="150"/>
      <c r="I7" s="150"/>
      <c r="J7" s="150"/>
      <c r="K7" s="150"/>
      <c r="L7" s="150"/>
      <c r="M7" s="150"/>
      <c r="N7" s="150"/>
      <c r="O7" s="150"/>
    </row>
    <row r="8" spans="1:15">
      <c r="B8" s="150"/>
      <c r="C8" s="150"/>
      <c r="D8" s="150"/>
      <c r="E8" s="150"/>
      <c r="F8" s="150"/>
      <c r="G8" s="150"/>
      <c r="H8" s="150"/>
      <c r="I8" s="150"/>
      <c r="J8" s="150"/>
      <c r="K8" s="150"/>
      <c r="L8" s="150"/>
      <c r="M8" s="150"/>
      <c r="N8" s="150"/>
      <c r="O8" s="150"/>
    </row>
    <row r="9" spans="1:15">
      <c r="B9" s="150"/>
      <c r="C9" s="150"/>
      <c r="D9" s="150"/>
      <c r="E9" s="150"/>
      <c r="F9" s="150"/>
      <c r="G9" s="150"/>
      <c r="H9" s="150"/>
      <c r="I9" s="150"/>
      <c r="J9" s="150"/>
      <c r="K9" s="150"/>
      <c r="L9" s="150"/>
      <c r="M9" s="150"/>
      <c r="N9" s="150"/>
      <c r="O9" s="150"/>
    </row>
    <row r="10" spans="1:15">
      <c r="B10" s="150"/>
      <c r="C10" s="150"/>
      <c r="D10" s="150"/>
      <c r="E10" s="150"/>
      <c r="F10" s="150"/>
      <c r="G10" s="150"/>
      <c r="H10" s="150"/>
      <c r="I10" s="150"/>
      <c r="J10" s="150"/>
      <c r="K10" s="150"/>
      <c r="L10" s="150"/>
      <c r="M10" s="150"/>
      <c r="N10" s="150"/>
      <c r="O10" s="150"/>
    </row>
    <row r="11" spans="1:15">
      <c r="B11" s="150"/>
      <c r="C11" s="150"/>
      <c r="D11" s="150"/>
      <c r="E11" s="150"/>
      <c r="F11" s="150"/>
      <c r="G11" s="150"/>
      <c r="H11" s="150"/>
      <c r="I11" s="150"/>
      <c r="J11" s="150"/>
      <c r="K11" s="150"/>
      <c r="L11" s="150"/>
      <c r="M11" s="150"/>
      <c r="N11" s="150"/>
      <c r="O11" s="150"/>
    </row>
    <row r="12" spans="1:15">
      <c r="B12" s="150"/>
      <c r="C12" s="150"/>
      <c r="D12" s="150"/>
      <c r="E12" s="150"/>
      <c r="F12" s="150"/>
      <c r="G12" s="150"/>
      <c r="H12" s="150"/>
      <c r="I12" s="150"/>
      <c r="J12" s="150"/>
      <c r="K12" s="150"/>
      <c r="L12" s="150"/>
      <c r="M12" s="150"/>
      <c r="N12" s="150"/>
      <c r="O12" s="150"/>
    </row>
    <row r="13" spans="1:15">
      <c r="B13" s="150"/>
      <c r="C13" s="150"/>
      <c r="D13" s="150"/>
      <c r="E13" s="150"/>
      <c r="F13" s="150"/>
      <c r="G13" s="150"/>
      <c r="H13" s="150"/>
      <c r="I13" s="150"/>
      <c r="J13" s="150"/>
      <c r="K13" s="150"/>
      <c r="L13" s="150"/>
      <c r="M13" s="150"/>
      <c r="N13" s="150"/>
      <c r="O13" s="150"/>
    </row>
    <row r="14" spans="1:15">
      <c r="B14" s="150"/>
      <c r="C14" s="150"/>
      <c r="D14" s="150"/>
      <c r="E14" s="150"/>
      <c r="F14" s="150"/>
      <c r="G14" s="150"/>
      <c r="H14" s="150"/>
      <c r="I14" s="150"/>
      <c r="J14" s="150"/>
      <c r="K14" s="150"/>
      <c r="L14" s="150"/>
      <c r="M14" s="150"/>
      <c r="N14" s="150"/>
      <c r="O14" s="150"/>
    </row>
    <row r="15" spans="1:15">
      <c r="B15" s="150"/>
      <c r="C15" s="150"/>
      <c r="D15" s="150"/>
      <c r="E15" s="150"/>
      <c r="F15" s="150"/>
      <c r="G15" s="150"/>
      <c r="H15" s="150"/>
      <c r="I15" s="150"/>
      <c r="J15" s="150"/>
      <c r="K15" s="150"/>
      <c r="L15" s="150"/>
      <c r="M15" s="150"/>
      <c r="N15" s="150"/>
      <c r="O15" s="150"/>
    </row>
    <row r="16" spans="1:15">
      <c r="B16" s="150"/>
      <c r="C16" s="150"/>
      <c r="D16" s="150"/>
      <c r="E16" s="150"/>
      <c r="F16" s="150"/>
      <c r="G16" s="150"/>
      <c r="H16" s="150"/>
      <c r="I16" s="150"/>
      <c r="J16" s="150"/>
      <c r="K16" s="150"/>
      <c r="L16" s="150"/>
      <c r="M16" s="150"/>
      <c r="N16" s="150"/>
      <c r="O16" s="150"/>
    </row>
    <row r="17" spans="2:15">
      <c r="B17" s="150"/>
      <c r="C17" s="150"/>
      <c r="D17" s="150"/>
      <c r="E17" s="150"/>
      <c r="F17" s="150"/>
      <c r="G17" s="150"/>
      <c r="H17" s="150"/>
      <c r="I17" s="150"/>
      <c r="J17" s="150"/>
      <c r="K17" s="150"/>
      <c r="L17" s="150"/>
      <c r="M17" s="150"/>
      <c r="N17" s="150"/>
      <c r="O17" s="150"/>
    </row>
    <row r="18" spans="2:15">
      <c r="B18" s="150"/>
      <c r="C18" s="150"/>
      <c r="D18" s="150"/>
      <c r="E18" s="150"/>
      <c r="F18" s="150"/>
      <c r="G18" s="150"/>
      <c r="H18" s="150"/>
      <c r="I18" s="150"/>
      <c r="J18" s="150"/>
      <c r="K18" s="150"/>
      <c r="L18" s="150"/>
      <c r="M18" s="150"/>
      <c r="N18" s="150"/>
      <c r="O18" s="150"/>
    </row>
    <row r="19" spans="2:15">
      <c r="B19" s="150"/>
      <c r="C19" s="150"/>
      <c r="D19" s="150"/>
      <c r="E19" s="150"/>
      <c r="F19" s="150"/>
      <c r="G19" s="150"/>
      <c r="H19" s="150"/>
      <c r="I19" s="150"/>
      <c r="J19" s="150"/>
      <c r="K19" s="150"/>
      <c r="L19" s="150"/>
      <c r="M19" s="150"/>
      <c r="N19" s="150"/>
      <c r="O19" s="150"/>
    </row>
    <row r="20" spans="2:15">
      <c r="B20" s="150"/>
      <c r="C20" s="150"/>
      <c r="D20" s="150"/>
      <c r="E20" s="150"/>
      <c r="F20" s="150"/>
      <c r="G20" s="150"/>
      <c r="H20" s="150"/>
      <c r="I20" s="150"/>
      <c r="J20" s="150"/>
      <c r="K20" s="150"/>
      <c r="L20" s="150"/>
      <c r="M20" s="150"/>
      <c r="N20" s="150"/>
      <c r="O20" s="150"/>
    </row>
    <row r="21" spans="2:15">
      <c r="B21" s="150"/>
      <c r="C21" s="150"/>
      <c r="D21" s="150"/>
      <c r="E21" s="150"/>
      <c r="F21" s="150"/>
      <c r="G21" s="150"/>
      <c r="H21" s="150"/>
      <c r="I21" s="150"/>
      <c r="J21" s="150"/>
      <c r="K21" s="150"/>
      <c r="L21" s="150"/>
      <c r="M21" s="150"/>
      <c r="N21" s="150"/>
      <c r="O21" s="150"/>
    </row>
    <row r="22" spans="2:15">
      <c r="B22" s="150"/>
      <c r="C22" s="150"/>
      <c r="D22" s="150"/>
      <c r="E22" s="150"/>
      <c r="F22" s="150"/>
      <c r="G22" s="150"/>
      <c r="H22" s="150"/>
      <c r="I22" s="150"/>
      <c r="J22" s="150"/>
      <c r="K22" s="150"/>
      <c r="L22" s="150"/>
      <c r="M22" s="150"/>
      <c r="N22" s="150"/>
      <c r="O22" s="150"/>
    </row>
    <row r="23" spans="2:15">
      <c r="B23" s="150"/>
      <c r="C23" s="150"/>
      <c r="D23" s="150"/>
      <c r="E23" s="150"/>
      <c r="F23" s="150"/>
      <c r="G23" s="150"/>
      <c r="H23" s="150"/>
      <c r="I23" s="150"/>
      <c r="J23" s="150"/>
      <c r="K23" s="150"/>
      <c r="L23" s="150"/>
      <c r="M23" s="150"/>
      <c r="N23" s="150"/>
      <c r="O23" s="150"/>
    </row>
    <row r="24" spans="2:15">
      <c r="B24" s="150"/>
      <c r="C24" s="150"/>
      <c r="D24" s="150"/>
      <c r="E24" s="150"/>
      <c r="F24" s="150"/>
      <c r="G24" s="150"/>
      <c r="H24" s="150"/>
      <c r="I24" s="150"/>
      <c r="J24" s="150"/>
      <c r="K24" s="150"/>
      <c r="L24" s="150"/>
      <c r="M24" s="150"/>
      <c r="N24" s="150"/>
      <c r="O24" s="150"/>
    </row>
    <row r="25" spans="2:15">
      <c r="B25" s="150"/>
      <c r="C25" s="150"/>
      <c r="D25" s="150"/>
      <c r="E25" s="150"/>
      <c r="F25" s="150"/>
      <c r="G25" s="150"/>
      <c r="H25" s="150"/>
      <c r="I25" s="150"/>
      <c r="J25" s="150"/>
      <c r="K25" s="150"/>
      <c r="L25" s="150"/>
      <c r="M25" s="150"/>
      <c r="N25" s="150"/>
      <c r="O25" s="150"/>
    </row>
    <row r="26" spans="2:15">
      <c r="B26" s="150"/>
      <c r="C26" s="150"/>
      <c r="D26" s="150"/>
      <c r="E26" s="150"/>
      <c r="F26" s="150"/>
      <c r="G26" s="150"/>
      <c r="H26" s="150"/>
      <c r="I26" s="150"/>
      <c r="J26" s="150"/>
      <c r="K26" s="150"/>
      <c r="L26" s="150"/>
      <c r="M26" s="150"/>
      <c r="N26" s="150"/>
      <c r="O26" s="150"/>
    </row>
    <row r="27" spans="2:15">
      <c r="B27" s="150"/>
      <c r="C27" s="150"/>
      <c r="D27" s="150"/>
      <c r="E27" s="150"/>
      <c r="F27" s="150"/>
      <c r="G27" s="150"/>
      <c r="H27" s="150"/>
      <c r="I27" s="150"/>
      <c r="J27" s="150"/>
      <c r="K27" s="150"/>
      <c r="L27" s="150"/>
      <c r="M27" s="150"/>
      <c r="N27" s="150"/>
      <c r="O27" s="150"/>
    </row>
    <row r="28" spans="2:15">
      <c r="B28" s="150"/>
      <c r="C28" s="150"/>
      <c r="D28" s="150"/>
      <c r="E28" s="150"/>
      <c r="F28" s="150"/>
      <c r="G28" s="150"/>
      <c r="H28" s="150"/>
      <c r="I28" s="150"/>
      <c r="J28" s="150"/>
      <c r="K28" s="150"/>
      <c r="L28" s="150"/>
      <c r="M28" s="150"/>
      <c r="N28" s="150"/>
      <c r="O28" s="150"/>
    </row>
    <row r="29" spans="2:15">
      <c r="B29" s="150"/>
      <c r="C29" s="150"/>
      <c r="D29" s="150"/>
      <c r="E29" s="150"/>
      <c r="F29" s="150"/>
      <c r="G29" s="150"/>
      <c r="H29" s="150"/>
      <c r="I29" s="150"/>
      <c r="J29" s="150"/>
      <c r="K29" s="150"/>
      <c r="L29" s="150"/>
      <c r="M29" s="150"/>
      <c r="N29" s="150"/>
      <c r="O29" s="150"/>
    </row>
    <row r="30" spans="2:15">
      <c r="B30" s="150"/>
      <c r="C30" s="150"/>
      <c r="D30" s="150"/>
      <c r="E30" s="150"/>
      <c r="F30" s="150"/>
      <c r="G30" s="150"/>
      <c r="H30" s="150"/>
      <c r="I30" s="150"/>
      <c r="J30" s="150"/>
      <c r="K30" s="150"/>
      <c r="L30" s="150"/>
      <c r="M30" s="150"/>
      <c r="N30" s="150"/>
      <c r="O30" s="150"/>
    </row>
    <row r="31" spans="2:15">
      <c r="B31" s="150"/>
      <c r="C31" s="150"/>
      <c r="D31" s="150"/>
      <c r="E31" s="150"/>
      <c r="F31" s="150"/>
      <c r="G31" s="150"/>
      <c r="H31" s="150"/>
      <c r="I31" s="150"/>
      <c r="J31" s="150"/>
      <c r="K31" s="150"/>
      <c r="L31" s="150"/>
      <c r="M31" s="150"/>
      <c r="N31" s="150"/>
      <c r="O31" s="150"/>
    </row>
    <row r="32" spans="2:15">
      <c r="B32" s="150"/>
      <c r="C32" s="150"/>
      <c r="D32" s="150"/>
      <c r="E32" s="150"/>
      <c r="F32" s="150"/>
      <c r="G32" s="150"/>
      <c r="H32" s="150"/>
      <c r="I32" s="150"/>
      <c r="J32" s="150"/>
      <c r="K32" s="150"/>
      <c r="L32" s="150"/>
      <c r="M32" s="150"/>
      <c r="N32" s="150"/>
      <c r="O32" s="150"/>
    </row>
    <row r="33" spans="2:15">
      <c r="B33" s="150"/>
      <c r="C33" s="150"/>
      <c r="D33" s="150"/>
      <c r="E33" s="150"/>
      <c r="F33" s="150"/>
      <c r="G33" s="150"/>
      <c r="H33" s="150"/>
      <c r="I33" s="150"/>
      <c r="J33" s="150"/>
      <c r="K33" s="150"/>
      <c r="L33" s="150"/>
      <c r="M33" s="150"/>
      <c r="N33" s="150"/>
      <c r="O33" s="150"/>
    </row>
    <row r="34" spans="2:15">
      <c r="B34" s="150"/>
      <c r="C34" s="150"/>
      <c r="D34" s="150"/>
      <c r="E34" s="150"/>
      <c r="F34" s="150"/>
      <c r="G34" s="150"/>
      <c r="H34" s="150"/>
      <c r="I34" s="150"/>
      <c r="J34" s="150"/>
      <c r="K34" s="150"/>
      <c r="L34" s="150"/>
      <c r="M34" s="150"/>
      <c r="N34" s="150"/>
      <c r="O34" s="150"/>
    </row>
    <row r="35" spans="2:15">
      <c r="B35" s="150"/>
      <c r="C35" s="150"/>
      <c r="D35" s="150"/>
      <c r="E35" s="150"/>
      <c r="F35" s="150"/>
      <c r="G35" s="150"/>
      <c r="H35" s="150"/>
      <c r="I35" s="150"/>
      <c r="J35" s="150"/>
      <c r="K35" s="150"/>
      <c r="L35" s="150"/>
      <c r="M35" s="150"/>
      <c r="N35" s="150"/>
      <c r="O35" s="150"/>
    </row>
    <row r="36" spans="2:15">
      <c r="B36" s="150"/>
      <c r="C36" s="150"/>
      <c r="D36" s="150"/>
      <c r="E36" s="150"/>
      <c r="F36" s="150"/>
      <c r="G36" s="150"/>
      <c r="H36" s="150"/>
      <c r="I36" s="150"/>
      <c r="J36" s="150"/>
      <c r="K36" s="150"/>
      <c r="L36" s="150"/>
      <c r="M36" s="150"/>
      <c r="N36" s="150"/>
      <c r="O36" s="150"/>
    </row>
    <row r="37" spans="2:15">
      <c r="B37" s="150"/>
      <c r="C37" s="150"/>
      <c r="D37" s="150"/>
      <c r="E37" s="150"/>
      <c r="F37" s="150"/>
      <c r="G37" s="150"/>
      <c r="H37" s="150"/>
      <c r="I37" s="150"/>
      <c r="J37" s="150"/>
      <c r="K37" s="150"/>
      <c r="L37" s="150"/>
      <c r="M37" s="150"/>
      <c r="N37" s="150"/>
      <c r="O37" s="150"/>
    </row>
    <row r="38" spans="2:15">
      <c r="B38" s="150"/>
      <c r="C38" s="150"/>
      <c r="D38" s="150"/>
      <c r="E38" s="150"/>
      <c r="F38" s="150"/>
      <c r="G38" s="150"/>
      <c r="H38" s="150"/>
      <c r="I38" s="150"/>
      <c r="J38" s="150"/>
      <c r="K38" s="150"/>
      <c r="L38" s="150"/>
      <c r="M38" s="150"/>
      <c r="N38" s="150"/>
      <c r="O38" s="150"/>
    </row>
    <row r="39" spans="2:15">
      <c r="B39" s="150"/>
      <c r="C39" s="150"/>
      <c r="D39" s="150"/>
      <c r="E39" s="150"/>
      <c r="F39" s="150"/>
      <c r="G39" s="150"/>
      <c r="H39" s="150"/>
      <c r="I39" s="150"/>
      <c r="J39" s="150"/>
      <c r="K39" s="150"/>
      <c r="L39" s="150"/>
      <c r="M39" s="150"/>
      <c r="N39" s="150"/>
      <c r="O39" s="150"/>
    </row>
    <row r="40" spans="2:15">
      <c r="B40" s="150"/>
      <c r="C40" s="150"/>
      <c r="D40" s="150"/>
      <c r="E40" s="150"/>
      <c r="F40" s="150"/>
      <c r="G40" s="150"/>
      <c r="H40" s="150"/>
      <c r="I40" s="150"/>
      <c r="J40" s="150"/>
      <c r="K40" s="150"/>
      <c r="L40" s="150"/>
      <c r="M40" s="150"/>
      <c r="N40" s="150"/>
      <c r="O40" s="150"/>
    </row>
    <row r="41" spans="2:15">
      <c r="B41" s="150"/>
      <c r="C41" s="150"/>
      <c r="D41" s="150"/>
      <c r="E41" s="150"/>
      <c r="F41" s="150"/>
      <c r="G41" s="150"/>
      <c r="H41" s="150"/>
      <c r="I41" s="150"/>
      <c r="J41" s="150"/>
      <c r="K41" s="150"/>
      <c r="L41" s="150"/>
      <c r="M41" s="150"/>
      <c r="N41" s="150"/>
      <c r="O41" s="150"/>
    </row>
    <row r="42" spans="2:15">
      <c r="B42" s="150"/>
      <c r="C42" s="150"/>
      <c r="D42" s="150"/>
      <c r="E42" s="150"/>
      <c r="F42" s="150"/>
      <c r="G42" s="150"/>
      <c r="H42" s="150"/>
      <c r="I42" s="150"/>
      <c r="J42" s="150"/>
      <c r="K42" s="150"/>
      <c r="L42" s="150"/>
      <c r="M42" s="150"/>
      <c r="N42" s="150"/>
      <c r="O42" s="150"/>
    </row>
    <row r="43" spans="2:15">
      <c r="B43" s="150"/>
      <c r="C43" s="150"/>
      <c r="D43" s="150"/>
      <c r="E43" s="150"/>
      <c r="F43" s="150"/>
      <c r="G43" s="150"/>
      <c r="H43" s="150"/>
      <c r="I43" s="150"/>
      <c r="J43" s="150"/>
      <c r="K43" s="150"/>
      <c r="L43" s="150"/>
      <c r="M43" s="150"/>
      <c r="N43" s="150"/>
      <c r="O43" s="150"/>
    </row>
    <row r="44" spans="2:15">
      <c r="B44" s="150"/>
      <c r="C44" s="150"/>
      <c r="D44" s="150"/>
      <c r="E44" s="150"/>
      <c r="F44" s="150"/>
      <c r="G44" s="150"/>
      <c r="H44" s="150"/>
      <c r="I44" s="150"/>
      <c r="J44" s="150"/>
      <c r="K44" s="150"/>
      <c r="L44" s="150"/>
      <c r="M44" s="150"/>
      <c r="N44" s="150"/>
      <c r="O44" s="150"/>
    </row>
    <row r="45" spans="2:15">
      <c r="B45" s="150"/>
      <c r="C45" s="150"/>
      <c r="D45" s="150"/>
      <c r="E45" s="150"/>
      <c r="F45" s="150"/>
      <c r="G45" s="150"/>
      <c r="H45" s="150"/>
      <c r="I45" s="150"/>
      <c r="J45" s="150"/>
      <c r="K45" s="150"/>
      <c r="L45" s="150"/>
      <c r="M45" s="150"/>
      <c r="N45" s="150"/>
      <c r="O45" s="150"/>
    </row>
  </sheetData>
  <mergeCells count="1">
    <mergeCell ref="B3:O4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DAEB7-F808-45CC-B025-DF5DD646BC8F}">
  <dimension ref="A1:M31"/>
  <sheetViews>
    <sheetView zoomScale="105" workbookViewId="0">
      <selection activeCell="L2" sqref="L2"/>
    </sheetView>
  </sheetViews>
  <sheetFormatPr defaultRowHeight="15"/>
  <cols>
    <col min="1" max="1" width="16.7109375" style="34" bestFit="1" customWidth="1"/>
    <col min="2" max="2" width="11.7109375" style="34" bestFit="1" customWidth="1"/>
    <col min="3" max="3" width="15.85546875" style="34" bestFit="1" customWidth="1"/>
    <col min="4" max="4" width="15.140625" style="34" bestFit="1" customWidth="1"/>
    <col min="5" max="5" width="12" style="34" bestFit="1" customWidth="1"/>
    <col min="6" max="6" width="13.140625" style="34" bestFit="1" customWidth="1"/>
    <col min="8" max="8" width="17.140625" customWidth="1"/>
    <col min="9" max="9" width="13.42578125" customWidth="1"/>
    <col min="10" max="10" width="12.85546875" bestFit="1" customWidth="1"/>
  </cols>
  <sheetData>
    <row r="1" spans="1:13">
      <c r="A1" s="5" t="s">
        <v>0</v>
      </c>
    </row>
    <row r="2" spans="1:13">
      <c r="A2" s="5" t="s">
        <v>79</v>
      </c>
    </row>
    <row r="4" spans="1:13">
      <c r="A4" s="33" t="s">
        <v>69</v>
      </c>
    </row>
    <row r="5" spans="1:13" ht="15.75" thickBot="1"/>
    <row r="6" spans="1:13">
      <c r="A6" s="35" t="s">
        <v>70</v>
      </c>
      <c r="B6" s="35" t="s">
        <v>71</v>
      </c>
      <c r="C6" s="35" t="s">
        <v>72</v>
      </c>
      <c r="D6" s="36" t="s">
        <v>73</v>
      </c>
      <c r="E6" s="35" t="s">
        <v>74</v>
      </c>
      <c r="F6" s="35" t="s">
        <v>75</v>
      </c>
      <c r="H6" s="41" t="s">
        <v>80</v>
      </c>
      <c r="I6" s="42">
        <f>AVERAGE(D7:D31)</f>
        <v>25848</v>
      </c>
    </row>
    <row r="7" spans="1:13">
      <c r="A7" s="37">
        <v>130000</v>
      </c>
      <c r="B7" s="38">
        <v>22</v>
      </c>
      <c r="C7" s="38" t="s">
        <v>76</v>
      </c>
      <c r="D7" s="39">
        <v>60700</v>
      </c>
      <c r="E7" s="38">
        <v>300</v>
      </c>
      <c r="F7" s="34">
        <v>3</v>
      </c>
      <c r="H7" s="43" t="s">
        <v>81</v>
      </c>
      <c r="I7" s="44">
        <f>MEDIAN(D7:D31)</f>
        <v>24000</v>
      </c>
    </row>
    <row r="8" spans="1:13" ht="15.75" thickBot="1">
      <c r="A8" s="37">
        <v>157000</v>
      </c>
      <c r="B8" s="38">
        <v>23</v>
      </c>
      <c r="C8" s="38" t="s">
        <v>76</v>
      </c>
      <c r="D8" s="40">
        <v>52000</v>
      </c>
      <c r="E8" s="38">
        <v>350</v>
      </c>
      <c r="F8" s="34">
        <v>1</v>
      </c>
      <c r="H8" s="45" t="s">
        <v>82</v>
      </c>
      <c r="I8" s="46">
        <f>_xlfn.STDEV.S(D7:D31)</f>
        <v>13239.402050948776</v>
      </c>
    </row>
    <row r="9" spans="1:13">
      <c r="A9" s="37">
        <v>98000</v>
      </c>
      <c r="B9" s="38">
        <v>27</v>
      </c>
      <c r="C9" s="38" t="s">
        <v>77</v>
      </c>
      <c r="D9" s="39">
        <v>47000</v>
      </c>
      <c r="E9" s="38">
        <v>150</v>
      </c>
      <c r="F9" s="34">
        <v>3</v>
      </c>
    </row>
    <row r="10" spans="1:13" ht="15" customHeight="1">
      <c r="A10" s="37">
        <v>72000</v>
      </c>
      <c r="B10" s="38">
        <v>29</v>
      </c>
      <c r="C10" s="38" t="s">
        <v>77</v>
      </c>
      <c r="D10" s="39">
        <v>42000</v>
      </c>
      <c r="E10" s="38">
        <v>200</v>
      </c>
      <c r="F10" s="34">
        <v>5</v>
      </c>
      <c r="H10" s="151" t="s">
        <v>83</v>
      </c>
      <c r="I10" s="151"/>
      <c r="J10" s="151"/>
      <c r="K10" s="151"/>
      <c r="L10" s="151"/>
      <c r="M10" s="151"/>
    </row>
    <row r="11" spans="1:13">
      <c r="A11" s="37">
        <v>86000</v>
      </c>
      <c r="B11" s="38">
        <v>25</v>
      </c>
      <c r="C11" s="38" t="s">
        <v>76</v>
      </c>
      <c r="D11" s="39">
        <v>34000</v>
      </c>
      <c r="E11" s="38">
        <v>250</v>
      </c>
      <c r="F11" s="34">
        <v>3</v>
      </c>
      <c r="H11" s="151"/>
      <c r="I11" s="151"/>
      <c r="J11" s="151"/>
      <c r="K11" s="151"/>
      <c r="L11" s="151"/>
      <c r="M11" s="151"/>
    </row>
    <row r="12" spans="1:13">
      <c r="A12" s="37">
        <v>90000</v>
      </c>
      <c r="B12" s="38">
        <v>28</v>
      </c>
      <c r="C12" s="38" t="s">
        <v>77</v>
      </c>
      <c r="D12" s="39">
        <v>30500</v>
      </c>
      <c r="E12" s="38">
        <v>150</v>
      </c>
      <c r="F12" s="34">
        <v>3</v>
      </c>
      <c r="H12" s="151"/>
      <c r="I12" s="151"/>
      <c r="J12" s="151"/>
      <c r="K12" s="151"/>
      <c r="L12" s="151"/>
      <c r="M12" s="151"/>
    </row>
    <row r="13" spans="1:13">
      <c r="A13" s="37">
        <v>43000</v>
      </c>
      <c r="B13" s="38">
        <v>19</v>
      </c>
      <c r="C13" s="38" t="s">
        <v>77</v>
      </c>
      <c r="D13" s="39">
        <v>30000</v>
      </c>
      <c r="E13" s="38">
        <v>250</v>
      </c>
      <c r="F13" s="34">
        <v>3</v>
      </c>
      <c r="H13" s="151"/>
      <c r="I13" s="151"/>
      <c r="J13" s="151"/>
      <c r="K13" s="151"/>
      <c r="L13" s="151"/>
      <c r="M13" s="151"/>
    </row>
    <row r="14" spans="1:13">
      <c r="A14" s="37">
        <v>100000</v>
      </c>
      <c r="B14" s="38">
        <v>30</v>
      </c>
      <c r="C14" s="38" t="s">
        <v>77</v>
      </c>
      <c r="D14" s="39">
        <v>30000</v>
      </c>
      <c r="E14" s="38">
        <v>300</v>
      </c>
      <c r="F14" s="34">
        <v>3</v>
      </c>
      <c r="H14" s="151"/>
      <c r="I14" s="151"/>
      <c r="J14" s="151"/>
      <c r="K14" s="151"/>
      <c r="L14" s="151"/>
      <c r="M14" s="151"/>
    </row>
    <row r="15" spans="1:13">
      <c r="A15" s="37">
        <v>65000</v>
      </c>
      <c r="B15" s="38">
        <v>24</v>
      </c>
      <c r="C15" s="38" t="s">
        <v>76</v>
      </c>
      <c r="D15" s="39">
        <v>28000</v>
      </c>
      <c r="E15" s="38">
        <v>250</v>
      </c>
      <c r="F15" s="34">
        <v>3</v>
      </c>
      <c r="H15" s="151"/>
      <c r="I15" s="151"/>
      <c r="J15" s="151"/>
      <c r="K15" s="151"/>
      <c r="L15" s="151"/>
      <c r="M15" s="151"/>
    </row>
    <row r="16" spans="1:13">
      <c r="A16" s="37">
        <v>78000</v>
      </c>
      <c r="B16" s="38">
        <v>35</v>
      </c>
      <c r="C16" s="38" t="s">
        <v>77</v>
      </c>
      <c r="D16" s="39">
        <v>26000</v>
      </c>
      <c r="E16" s="38">
        <v>200</v>
      </c>
      <c r="F16" s="34">
        <v>5</v>
      </c>
      <c r="H16" s="151"/>
      <c r="I16" s="151"/>
      <c r="J16" s="151"/>
      <c r="K16" s="151"/>
      <c r="L16" s="151"/>
      <c r="M16" s="151"/>
    </row>
    <row r="17" spans="1:13">
      <c r="A17" s="37">
        <v>73000</v>
      </c>
      <c r="B17" s="38">
        <v>25</v>
      </c>
      <c r="C17" s="38" t="s">
        <v>76</v>
      </c>
      <c r="D17" s="39">
        <v>25000</v>
      </c>
      <c r="E17" s="38">
        <v>150</v>
      </c>
      <c r="F17" s="34">
        <v>5</v>
      </c>
      <c r="H17" s="151"/>
      <c r="I17" s="151"/>
      <c r="J17" s="151"/>
      <c r="K17" s="151"/>
      <c r="L17" s="151"/>
      <c r="M17" s="151"/>
    </row>
    <row r="18" spans="1:13">
      <c r="A18" s="37">
        <v>75000</v>
      </c>
      <c r="B18" s="38">
        <v>27</v>
      </c>
      <c r="C18" s="38" t="s">
        <v>77</v>
      </c>
      <c r="D18" s="39">
        <v>24000</v>
      </c>
      <c r="E18" s="38">
        <v>200</v>
      </c>
      <c r="F18" s="34">
        <v>5</v>
      </c>
      <c r="H18" s="151"/>
      <c r="I18" s="151"/>
      <c r="J18" s="151"/>
      <c r="K18" s="151"/>
      <c r="L18" s="151"/>
      <c r="M18" s="151"/>
    </row>
    <row r="19" spans="1:13">
      <c r="A19" s="37">
        <v>64000</v>
      </c>
      <c r="B19" s="38">
        <v>25</v>
      </c>
      <c r="C19" s="38" t="s">
        <v>76</v>
      </c>
      <c r="D19" s="39">
        <v>24000</v>
      </c>
      <c r="E19" s="38">
        <v>200</v>
      </c>
      <c r="F19" s="34">
        <v>1</v>
      </c>
      <c r="I19" s="32"/>
      <c r="J19" s="32"/>
      <c r="K19" s="32"/>
      <c r="L19" s="32"/>
      <c r="M19" s="32"/>
    </row>
    <row r="20" spans="1:13">
      <c r="A20" s="37">
        <v>67000</v>
      </c>
      <c r="B20" s="38">
        <v>27</v>
      </c>
      <c r="C20" s="38" t="s">
        <v>78</v>
      </c>
      <c r="D20" s="39">
        <v>22000</v>
      </c>
      <c r="E20" s="38">
        <v>200</v>
      </c>
      <c r="F20" s="34">
        <v>5</v>
      </c>
      <c r="I20" s="32"/>
      <c r="J20" s="32"/>
      <c r="K20" s="32"/>
      <c r="L20" s="32"/>
      <c r="M20" s="32"/>
    </row>
    <row r="21" spans="1:13">
      <c r="A21" s="37">
        <v>75000</v>
      </c>
      <c r="B21" s="38">
        <v>25</v>
      </c>
      <c r="C21" s="38" t="s">
        <v>76</v>
      </c>
      <c r="D21" s="39">
        <v>20000</v>
      </c>
      <c r="E21" s="38">
        <v>200</v>
      </c>
      <c r="F21" s="34">
        <v>5</v>
      </c>
      <c r="I21" s="32"/>
      <c r="J21" s="32"/>
      <c r="K21" s="32"/>
      <c r="L21" s="32"/>
      <c r="M21" s="32"/>
    </row>
    <row r="22" spans="1:13">
      <c r="A22" s="37">
        <v>67000</v>
      </c>
      <c r="B22" s="38">
        <v>30</v>
      </c>
      <c r="C22" s="38" t="s">
        <v>76</v>
      </c>
      <c r="D22" s="39">
        <v>20000</v>
      </c>
      <c r="E22" s="38">
        <v>200</v>
      </c>
      <c r="F22" s="34">
        <v>5</v>
      </c>
      <c r="I22" s="32"/>
      <c r="J22" s="32"/>
      <c r="K22" s="32"/>
      <c r="L22" s="32"/>
      <c r="M22" s="32"/>
    </row>
    <row r="23" spans="1:13">
      <c r="A23" s="37">
        <v>62000</v>
      </c>
      <c r="B23" s="38">
        <v>21</v>
      </c>
      <c r="C23" s="38" t="s">
        <v>78</v>
      </c>
      <c r="D23" s="39">
        <v>20000</v>
      </c>
      <c r="E23" s="38">
        <v>100</v>
      </c>
      <c r="F23" s="34">
        <v>1</v>
      </c>
      <c r="I23" s="32"/>
      <c r="J23" s="32"/>
      <c r="K23" s="32"/>
      <c r="L23" s="32"/>
      <c r="M23" s="32"/>
    </row>
    <row r="24" spans="1:13">
      <c r="A24" s="37">
        <v>75000</v>
      </c>
      <c r="B24" s="38">
        <v>19</v>
      </c>
      <c r="C24" s="38" t="s">
        <v>76</v>
      </c>
      <c r="D24" s="39">
        <v>19000</v>
      </c>
      <c r="E24" s="38">
        <v>150</v>
      </c>
      <c r="F24" s="34">
        <v>3</v>
      </c>
      <c r="I24" s="32"/>
      <c r="J24" s="32"/>
      <c r="K24" s="32"/>
      <c r="L24" s="32"/>
      <c r="M24" s="32"/>
    </row>
    <row r="25" spans="1:13">
      <c r="A25" s="37">
        <v>52000</v>
      </c>
      <c r="B25" s="38">
        <v>23</v>
      </c>
      <c r="C25" s="38" t="s">
        <v>76</v>
      </c>
      <c r="D25" s="39">
        <v>19000</v>
      </c>
      <c r="E25" s="38">
        <v>200</v>
      </c>
      <c r="F25" s="34">
        <v>1</v>
      </c>
      <c r="I25" s="32"/>
      <c r="J25" s="32"/>
      <c r="K25" s="32"/>
      <c r="L25" s="32"/>
      <c r="M25" s="32"/>
    </row>
    <row r="26" spans="1:13">
      <c r="A26" s="37">
        <v>64000</v>
      </c>
      <c r="B26" s="38">
        <v>22</v>
      </c>
      <c r="C26" s="38" t="s">
        <v>76</v>
      </c>
      <c r="D26" s="39">
        <v>18000</v>
      </c>
      <c r="E26" s="38">
        <v>150</v>
      </c>
      <c r="F26" s="34">
        <v>1</v>
      </c>
    </row>
    <row r="27" spans="1:13">
      <c r="A27" s="37">
        <v>55000</v>
      </c>
      <c r="B27" s="38">
        <v>28</v>
      </c>
      <c r="C27" s="38" t="s">
        <v>76</v>
      </c>
      <c r="D27" s="39">
        <v>16000</v>
      </c>
      <c r="E27" s="38">
        <v>100</v>
      </c>
      <c r="F27" s="34">
        <v>5</v>
      </c>
    </row>
    <row r="28" spans="1:13">
      <c r="A28" s="37">
        <v>53000</v>
      </c>
      <c r="B28" s="38">
        <v>31</v>
      </c>
      <c r="C28" s="38" t="s">
        <v>77</v>
      </c>
      <c r="D28" s="39">
        <v>14000</v>
      </c>
      <c r="E28" s="38">
        <v>100</v>
      </c>
      <c r="F28" s="34">
        <v>1</v>
      </c>
    </row>
    <row r="29" spans="1:13">
      <c r="A29" s="37">
        <v>62000</v>
      </c>
      <c r="B29" s="38">
        <v>24</v>
      </c>
      <c r="C29" s="38" t="s">
        <v>76</v>
      </c>
      <c r="D29" s="39">
        <v>13000</v>
      </c>
      <c r="E29" s="38">
        <v>150</v>
      </c>
      <c r="F29" s="34">
        <v>1</v>
      </c>
    </row>
    <row r="30" spans="1:13">
      <c r="A30" s="37">
        <v>40000</v>
      </c>
      <c r="B30" s="38">
        <v>26</v>
      </c>
      <c r="C30" s="38" t="s">
        <v>76</v>
      </c>
      <c r="D30" s="39">
        <v>7000</v>
      </c>
      <c r="E30" s="38">
        <v>50</v>
      </c>
      <c r="F30" s="34">
        <v>3</v>
      </c>
    </row>
    <row r="31" spans="1:13">
      <c r="A31" s="37">
        <v>45000</v>
      </c>
      <c r="B31" s="38">
        <v>32</v>
      </c>
      <c r="C31" s="38" t="s">
        <v>77</v>
      </c>
      <c r="D31" s="39">
        <v>5000</v>
      </c>
      <c r="E31" s="38">
        <v>50</v>
      </c>
      <c r="F31" s="34">
        <v>5</v>
      </c>
    </row>
  </sheetData>
  <mergeCells count="1">
    <mergeCell ref="H10:M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A7D5E-C0D4-4E2B-9C1A-D789B8B437D5}">
  <dimension ref="A1:B7"/>
  <sheetViews>
    <sheetView workbookViewId="0">
      <selection activeCell="N11" sqref="N11"/>
    </sheetView>
  </sheetViews>
  <sheetFormatPr defaultRowHeight="15"/>
  <cols>
    <col min="1" max="1" width="13.140625" bestFit="1" customWidth="1"/>
    <col min="2" max="2" width="24.5703125" bestFit="1" customWidth="1"/>
  </cols>
  <sheetData>
    <row r="1" spans="1:2">
      <c r="A1" s="30" t="s">
        <v>62</v>
      </c>
      <c r="B1" t="s">
        <v>105</v>
      </c>
    </row>
    <row r="2" spans="1:2">
      <c r="A2" s="24" t="s">
        <v>92</v>
      </c>
      <c r="B2">
        <v>3.4615384615384617</v>
      </c>
    </row>
    <row r="3" spans="1:2">
      <c r="A3" s="24" t="s">
        <v>97</v>
      </c>
      <c r="B3">
        <v>2.6666666666666665</v>
      </c>
    </row>
    <row r="4" spans="1:2">
      <c r="A4" s="24" t="s">
        <v>98</v>
      </c>
      <c r="B4">
        <v>2.8</v>
      </c>
    </row>
    <row r="5" spans="1:2">
      <c r="A5" s="24" t="s">
        <v>103</v>
      </c>
      <c r="B5">
        <v>3</v>
      </c>
    </row>
    <row r="6" spans="1:2">
      <c r="A6" s="24" t="s">
        <v>99</v>
      </c>
      <c r="B6">
        <v>3.8</v>
      </c>
    </row>
    <row r="7" spans="1:2">
      <c r="A7" s="24" t="s">
        <v>63</v>
      </c>
      <c r="B7">
        <v>3.3076923076923075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19FD8-0A85-4F11-A51B-87D270F013E2}">
  <dimension ref="A1:B21"/>
  <sheetViews>
    <sheetView workbookViewId="0">
      <selection sqref="A1:L22"/>
    </sheetView>
  </sheetViews>
  <sheetFormatPr defaultRowHeight="15"/>
  <cols>
    <col min="1" max="1" width="13.140625" bestFit="1" customWidth="1"/>
    <col min="2" max="2" width="28.85546875" bestFit="1" customWidth="1"/>
  </cols>
  <sheetData>
    <row r="1" spans="1:2">
      <c r="A1" s="30" t="s">
        <v>62</v>
      </c>
      <c r="B1" t="s">
        <v>106</v>
      </c>
    </row>
    <row r="2" spans="1:2">
      <c r="A2" s="24" t="s">
        <v>92</v>
      </c>
      <c r="B2">
        <v>3.2307692307692308</v>
      </c>
    </row>
    <row r="3" spans="1:2">
      <c r="A3" s="31" t="s">
        <v>80</v>
      </c>
      <c r="B3">
        <v>3.5</v>
      </c>
    </row>
    <row r="4" spans="1:2">
      <c r="A4" s="31" t="s">
        <v>94</v>
      </c>
      <c r="B4">
        <v>4</v>
      </c>
    </row>
    <row r="5" spans="1:2">
      <c r="A5" s="31" t="s">
        <v>101</v>
      </c>
      <c r="B5">
        <v>2.5</v>
      </c>
    </row>
    <row r="6" spans="1:2">
      <c r="A6" s="31" t="s">
        <v>95</v>
      </c>
      <c r="B6">
        <v>3</v>
      </c>
    </row>
    <row r="7" spans="1:2">
      <c r="A7" s="24" t="s">
        <v>97</v>
      </c>
      <c r="B7">
        <v>3</v>
      </c>
    </row>
    <row r="8" spans="1:2">
      <c r="A8" s="31" t="s">
        <v>80</v>
      </c>
      <c r="B8">
        <v>2.8333333333333335</v>
      </c>
    </row>
    <row r="9" spans="1:2">
      <c r="A9" s="31" t="s">
        <v>101</v>
      </c>
      <c r="B9">
        <v>4</v>
      </c>
    </row>
    <row r="10" spans="1:2">
      <c r="A10" s="31" t="s">
        <v>95</v>
      </c>
      <c r="B10">
        <v>3</v>
      </c>
    </row>
    <row r="11" spans="1:2">
      <c r="A11" s="24" t="s">
        <v>98</v>
      </c>
      <c r="B11">
        <v>4.8</v>
      </c>
    </row>
    <row r="12" spans="1:2">
      <c r="A12" s="31" t="s">
        <v>80</v>
      </c>
      <c r="B12">
        <v>4.666666666666667</v>
      </c>
    </row>
    <row r="13" spans="1:2">
      <c r="A13" s="31" t="s">
        <v>95</v>
      </c>
      <c r="B13">
        <v>5</v>
      </c>
    </row>
    <row r="14" spans="1:2">
      <c r="A14" s="24" t="s">
        <v>103</v>
      </c>
      <c r="B14">
        <v>4</v>
      </c>
    </row>
    <row r="15" spans="1:2">
      <c r="A15" s="31" t="s">
        <v>80</v>
      </c>
      <c r="B15">
        <v>4</v>
      </c>
    </row>
    <row r="16" spans="1:2">
      <c r="A16" s="31" t="s">
        <v>101</v>
      </c>
      <c r="B16">
        <v>4</v>
      </c>
    </row>
    <row r="17" spans="1:2">
      <c r="A17" s="24" t="s">
        <v>99</v>
      </c>
      <c r="B17">
        <v>3.5</v>
      </c>
    </row>
    <row r="18" spans="1:2">
      <c r="A18" s="31" t="s">
        <v>80</v>
      </c>
      <c r="B18">
        <v>2.6666666666666665</v>
      </c>
    </row>
    <row r="19" spans="1:2">
      <c r="A19" s="31" t="s">
        <v>101</v>
      </c>
      <c r="B19">
        <v>3</v>
      </c>
    </row>
    <row r="20" spans="1:2">
      <c r="A20" s="31" t="s">
        <v>95</v>
      </c>
      <c r="B20">
        <v>4</v>
      </c>
    </row>
    <row r="21" spans="1:2">
      <c r="A21" s="24" t="s">
        <v>63</v>
      </c>
      <c r="B21">
        <v>3.4230769230769229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C4DAD-E4C8-4A86-AA32-AD531C447C9A}">
  <dimension ref="A1:B17"/>
  <sheetViews>
    <sheetView workbookViewId="0">
      <selection sqref="A1:L17"/>
    </sheetView>
  </sheetViews>
  <sheetFormatPr defaultRowHeight="15"/>
  <cols>
    <col min="1" max="1" width="13.140625" bestFit="1" customWidth="1"/>
    <col min="2" max="2" width="22.5703125" bestFit="1" customWidth="1"/>
  </cols>
  <sheetData>
    <row r="1" spans="1:2">
      <c r="A1" s="30" t="s">
        <v>62</v>
      </c>
      <c r="B1" t="s">
        <v>107</v>
      </c>
    </row>
    <row r="2" spans="1:2">
      <c r="A2" s="24" t="s">
        <v>92</v>
      </c>
      <c r="B2">
        <v>0.98615384615384638</v>
      </c>
    </row>
    <row r="3" spans="1:2">
      <c r="A3" s="31" t="s">
        <v>96</v>
      </c>
      <c r="B3">
        <v>0.6964285714285714</v>
      </c>
    </row>
    <row r="4" spans="1:2">
      <c r="A4" s="31" t="s">
        <v>91</v>
      </c>
      <c r="B4">
        <v>1.1241830065359479</v>
      </c>
    </row>
    <row r="5" spans="1:2">
      <c r="A5" s="24" t="s">
        <v>97</v>
      </c>
      <c r="B5">
        <v>0.77777777777777857</v>
      </c>
    </row>
    <row r="6" spans="1:2">
      <c r="A6" s="31" t="s">
        <v>96</v>
      </c>
      <c r="B6">
        <v>0</v>
      </c>
    </row>
    <row r="7" spans="1:2">
      <c r="A7" s="31" t="s">
        <v>91</v>
      </c>
      <c r="B7">
        <v>0.95238095238095133</v>
      </c>
    </row>
    <row r="8" spans="1:2">
      <c r="A8" s="24" t="s">
        <v>98</v>
      </c>
      <c r="B8">
        <v>0.19999999999999929</v>
      </c>
    </row>
    <row r="9" spans="1:2">
      <c r="A9" s="31" t="s">
        <v>96</v>
      </c>
      <c r="B9">
        <v>0</v>
      </c>
    </row>
    <row r="10" spans="1:2">
      <c r="A10" s="31" t="s">
        <v>91</v>
      </c>
      <c r="B10">
        <v>0.33333333333333215</v>
      </c>
    </row>
    <row r="11" spans="1:2">
      <c r="A11" s="24" t="s">
        <v>103</v>
      </c>
      <c r="B11">
        <v>0.5</v>
      </c>
    </row>
    <row r="12" spans="1:2">
      <c r="A12" s="31" t="s">
        <v>96</v>
      </c>
      <c r="B12" t="e">
        <v>#DIV/0!</v>
      </c>
    </row>
    <row r="13" spans="1:2">
      <c r="A13" s="31" t="s">
        <v>91</v>
      </c>
      <c r="B13" t="e">
        <v>#DIV/0!</v>
      </c>
    </row>
    <row r="14" spans="1:2">
      <c r="A14" s="24" t="s">
        <v>99</v>
      </c>
      <c r="B14">
        <v>1.3333333333333333</v>
      </c>
    </row>
    <row r="15" spans="1:2">
      <c r="A15" s="31" t="s">
        <v>96</v>
      </c>
      <c r="B15">
        <v>0.79999999999999982</v>
      </c>
    </row>
    <row r="16" spans="1:2">
      <c r="A16" s="31" t="s">
        <v>91</v>
      </c>
      <c r="B16">
        <v>1.3000000000000007</v>
      </c>
    </row>
    <row r="17" spans="1:2">
      <c r="A17" s="24" t="s">
        <v>63</v>
      </c>
      <c r="B17">
        <v>0.92609351432880949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D8E4-B230-4804-AE0F-565CCBC91E10}">
  <dimension ref="A1:J69"/>
  <sheetViews>
    <sheetView topLeftCell="E49" zoomScale="86" zoomScaleNormal="52" workbookViewId="0">
      <selection activeCell="J59" sqref="J59"/>
    </sheetView>
  </sheetViews>
  <sheetFormatPr defaultRowHeight="15"/>
  <cols>
    <col min="1" max="1" width="16" style="7" bestFit="1" customWidth="1"/>
    <col min="2" max="2" width="7.7109375" style="7" bestFit="1" customWidth="1"/>
    <col min="3" max="3" width="7.140625" style="7" bestFit="1" customWidth="1"/>
    <col min="4" max="4" width="8.140625" style="7" bestFit="1" customWidth="1"/>
    <col min="5" max="5" width="13.42578125" style="7" bestFit="1" customWidth="1"/>
    <col min="6" max="6" width="16.42578125" style="7" bestFit="1" customWidth="1"/>
    <col min="7" max="7" width="15.42578125" style="7" bestFit="1" customWidth="1"/>
    <col min="9" max="9" width="15.140625" customWidth="1"/>
    <col min="10" max="10" width="27.7109375" customWidth="1"/>
  </cols>
  <sheetData>
    <row r="1" spans="1:10">
      <c r="A1" s="5" t="s">
        <v>0</v>
      </c>
    </row>
    <row r="2" spans="1:10">
      <c r="A2" s="5" t="s">
        <v>104</v>
      </c>
    </row>
    <row r="4" spans="1:10">
      <c r="A4" s="6" t="s">
        <v>84</v>
      </c>
    </row>
    <row r="5" spans="1:10">
      <c r="I5" s="5" t="s">
        <v>108</v>
      </c>
    </row>
    <row r="6" spans="1:10" ht="15.75" thickBot="1">
      <c r="A6" s="47" t="s">
        <v>4</v>
      </c>
      <c r="B6" s="47" t="s">
        <v>85</v>
      </c>
      <c r="C6" s="47" t="s">
        <v>86</v>
      </c>
      <c r="D6" s="47" t="s">
        <v>87</v>
      </c>
      <c r="E6" s="47" t="s">
        <v>88</v>
      </c>
      <c r="F6" s="47" t="s">
        <v>89</v>
      </c>
      <c r="G6" s="47" t="s">
        <v>90</v>
      </c>
      <c r="I6" s="30" t="s">
        <v>85</v>
      </c>
      <c r="J6" t="s">
        <v>105</v>
      </c>
    </row>
    <row r="7" spans="1:10" ht="15.75" thickTop="1">
      <c r="A7" s="7" t="s">
        <v>91</v>
      </c>
      <c r="B7" s="7" t="s">
        <v>92</v>
      </c>
      <c r="C7" s="7" t="s">
        <v>93</v>
      </c>
      <c r="D7" s="7" t="s">
        <v>94</v>
      </c>
      <c r="E7" s="7">
        <v>5</v>
      </c>
      <c r="F7" s="7">
        <v>4</v>
      </c>
      <c r="G7" s="7">
        <v>4</v>
      </c>
      <c r="I7" s="24" t="s">
        <v>92</v>
      </c>
      <c r="J7">
        <v>3.4615384615384617</v>
      </c>
    </row>
    <row r="8" spans="1:10">
      <c r="A8" s="7" t="s">
        <v>91</v>
      </c>
      <c r="B8" s="7" t="s">
        <v>92</v>
      </c>
      <c r="C8" s="7" t="s">
        <v>93</v>
      </c>
      <c r="D8" s="7" t="s">
        <v>94</v>
      </c>
      <c r="E8" s="7">
        <v>5</v>
      </c>
      <c r="F8" s="7">
        <v>4</v>
      </c>
      <c r="G8" s="7">
        <v>2</v>
      </c>
      <c r="I8" s="24" t="s">
        <v>97</v>
      </c>
      <c r="J8">
        <v>2.6666666666666665</v>
      </c>
    </row>
    <row r="9" spans="1:10">
      <c r="A9" s="7" t="s">
        <v>91</v>
      </c>
      <c r="B9" s="7" t="s">
        <v>92</v>
      </c>
      <c r="C9" s="7" t="s">
        <v>93</v>
      </c>
      <c r="D9" s="7" t="s">
        <v>80</v>
      </c>
      <c r="E9" s="7">
        <v>4</v>
      </c>
      <c r="F9" s="7">
        <v>4</v>
      </c>
      <c r="G9" s="7">
        <v>4</v>
      </c>
      <c r="I9" s="24" t="s">
        <v>98</v>
      </c>
      <c r="J9">
        <v>2.8</v>
      </c>
    </row>
    <row r="10" spans="1:10">
      <c r="A10" s="7" t="s">
        <v>91</v>
      </c>
      <c r="B10" s="7" t="s">
        <v>92</v>
      </c>
      <c r="C10" s="7" t="s">
        <v>93</v>
      </c>
      <c r="D10" s="7" t="s">
        <v>95</v>
      </c>
      <c r="E10" s="7">
        <v>2</v>
      </c>
      <c r="F10" s="7">
        <v>3</v>
      </c>
      <c r="G10" s="7">
        <v>3</v>
      </c>
      <c r="I10" s="24" t="s">
        <v>103</v>
      </c>
      <c r="J10">
        <v>3</v>
      </c>
    </row>
    <row r="11" spans="1:10">
      <c r="A11" s="7" t="s">
        <v>91</v>
      </c>
      <c r="B11" s="7" t="s">
        <v>92</v>
      </c>
      <c r="C11" s="7" t="s">
        <v>93</v>
      </c>
      <c r="D11" s="7" t="s">
        <v>95</v>
      </c>
      <c r="E11" s="7">
        <v>5</v>
      </c>
      <c r="F11" s="7">
        <v>5</v>
      </c>
      <c r="G11" s="7">
        <v>2</v>
      </c>
      <c r="I11" s="24" t="s">
        <v>99</v>
      </c>
      <c r="J11">
        <v>3.8</v>
      </c>
    </row>
    <row r="12" spans="1:10">
      <c r="A12" s="7" t="s">
        <v>91</v>
      </c>
      <c r="B12" s="7" t="s">
        <v>92</v>
      </c>
      <c r="C12" s="7" t="s">
        <v>93</v>
      </c>
      <c r="D12" s="7" t="s">
        <v>95</v>
      </c>
      <c r="E12" s="7">
        <v>4</v>
      </c>
      <c r="F12" s="7">
        <v>3</v>
      </c>
      <c r="G12" s="7">
        <v>5</v>
      </c>
      <c r="I12" s="24" t="s">
        <v>63</v>
      </c>
      <c r="J12">
        <v>3.3076923076923075</v>
      </c>
    </row>
    <row r="13" spans="1:10">
      <c r="A13" s="7" t="s">
        <v>91</v>
      </c>
      <c r="B13" s="7" t="s">
        <v>92</v>
      </c>
      <c r="C13" s="7" t="s">
        <v>93</v>
      </c>
      <c r="D13" s="7" t="s">
        <v>95</v>
      </c>
      <c r="E13" s="7">
        <v>3</v>
      </c>
      <c r="F13" s="7">
        <v>4</v>
      </c>
      <c r="G13" s="7">
        <v>4</v>
      </c>
    </row>
    <row r="14" spans="1:10">
      <c r="A14" s="7" t="s">
        <v>96</v>
      </c>
      <c r="B14" s="7" t="s">
        <v>92</v>
      </c>
      <c r="C14" s="7" t="s">
        <v>93</v>
      </c>
      <c r="D14" s="7" t="s">
        <v>95</v>
      </c>
      <c r="E14" s="7">
        <v>3</v>
      </c>
      <c r="F14" s="7">
        <v>2</v>
      </c>
      <c r="G14" s="7">
        <v>3</v>
      </c>
    </row>
    <row r="15" spans="1:10">
      <c r="A15" s="7" t="s">
        <v>96</v>
      </c>
      <c r="B15" s="7" t="s">
        <v>92</v>
      </c>
      <c r="C15" s="7" t="s">
        <v>93</v>
      </c>
      <c r="D15" s="7" t="s">
        <v>95</v>
      </c>
      <c r="E15" s="7">
        <v>4</v>
      </c>
      <c r="F15" s="7">
        <v>3</v>
      </c>
      <c r="G15" s="7">
        <v>4</v>
      </c>
    </row>
    <row r="16" spans="1:10">
      <c r="A16" s="7" t="s">
        <v>91</v>
      </c>
      <c r="B16" s="7" t="s">
        <v>92</v>
      </c>
      <c r="C16" s="7" t="s">
        <v>93</v>
      </c>
      <c r="D16" s="7" t="s">
        <v>95</v>
      </c>
      <c r="E16" s="7">
        <v>3</v>
      </c>
      <c r="F16" s="7">
        <v>3</v>
      </c>
      <c r="G16" s="7">
        <v>1</v>
      </c>
    </row>
    <row r="17" spans="1:10">
      <c r="A17" s="7" t="s">
        <v>91</v>
      </c>
      <c r="B17" s="7" t="s">
        <v>97</v>
      </c>
      <c r="C17" s="7" t="s">
        <v>93</v>
      </c>
      <c r="D17" s="7" t="s">
        <v>80</v>
      </c>
      <c r="E17" s="7">
        <v>1</v>
      </c>
      <c r="F17" s="7">
        <v>2</v>
      </c>
      <c r="G17" s="7">
        <v>4</v>
      </c>
    </row>
    <row r="18" spans="1:10">
      <c r="A18" s="7" t="s">
        <v>91</v>
      </c>
      <c r="B18" s="7" t="s">
        <v>98</v>
      </c>
      <c r="C18" s="7" t="s">
        <v>93</v>
      </c>
      <c r="D18" s="7" t="s">
        <v>95</v>
      </c>
      <c r="E18" s="7">
        <v>3</v>
      </c>
      <c r="F18" s="7">
        <v>5</v>
      </c>
      <c r="G18" s="7">
        <v>4</v>
      </c>
    </row>
    <row r="19" spans="1:10">
      <c r="A19" s="7" t="s">
        <v>91</v>
      </c>
      <c r="B19" s="7" t="s">
        <v>98</v>
      </c>
      <c r="C19" s="7" t="s">
        <v>93</v>
      </c>
      <c r="D19" s="7" t="s">
        <v>95</v>
      </c>
      <c r="E19" s="7">
        <v>3</v>
      </c>
      <c r="F19" s="7">
        <v>5</v>
      </c>
      <c r="G19" s="7">
        <v>3</v>
      </c>
    </row>
    <row r="20" spans="1:10">
      <c r="A20" s="7" t="s">
        <v>96</v>
      </c>
      <c r="B20" s="7" t="s">
        <v>98</v>
      </c>
      <c r="C20" s="7" t="s">
        <v>93</v>
      </c>
      <c r="D20" s="7" t="s">
        <v>80</v>
      </c>
      <c r="E20" s="7">
        <v>2</v>
      </c>
      <c r="F20" s="7">
        <v>5</v>
      </c>
      <c r="G20" s="7">
        <v>4</v>
      </c>
    </row>
    <row r="21" spans="1:10">
      <c r="A21" s="7" t="s">
        <v>96</v>
      </c>
      <c r="B21" s="7" t="s">
        <v>98</v>
      </c>
      <c r="C21" s="7" t="s">
        <v>93</v>
      </c>
      <c r="D21" s="7" t="s">
        <v>80</v>
      </c>
      <c r="E21" s="7">
        <v>3</v>
      </c>
      <c r="F21" s="7">
        <v>5</v>
      </c>
      <c r="G21" s="7">
        <v>4</v>
      </c>
    </row>
    <row r="22" spans="1:10">
      <c r="A22" s="7" t="s">
        <v>91</v>
      </c>
      <c r="B22" s="7" t="s">
        <v>99</v>
      </c>
      <c r="C22" s="7" t="s">
        <v>93</v>
      </c>
      <c r="D22" s="7" t="s">
        <v>80</v>
      </c>
      <c r="E22" s="7">
        <v>4</v>
      </c>
      <c r="F22" s="7">
        <v>3</v>
      </c>
      <c r="G22" s="7">
        <v>3</v>
      </c>
      <c r="I22" s="5" t="s">
        <v>109</v>
      </c>
    </row>
    <row r="23" spans="1:10">
      <c r="A23" s="7" t="s">
        <v>96</v>
      </c>
      <c r="B23" s="7" t="s">
        <v>99</v>
      </c>
      <c r="C23" s="7" t="s">
        <v>93</v>
      </c>
      <c r="D23" s="7" t="s">
        <v>95</v>
      </c>
      <c r="E23" s="7">
        <v>4</v>
      </c>
      <c r="F23" s="7">
        <v>3</v>
      </c>
      <c r="G23" s="7">
        <v>2</v>
      </c>
      <c r="I23" s="30" t="s">
        <v>110</v>
      </c>
      <c r="J23" t="s">
        <v>106</v>
      </c>
    </row>
    <row r="24" spans="1:10">
      <c r="A24" s="7" t="s">
        <v>91</v>
      </c>
      <c r="B24" s="7" t="s">
        <v>99</v>
      </c>
      <c r="C24" s="7" t="s">
        <v>93</v>
      </c>
      <c r="D24" s="7" t="s">
        <v>95</v>
      </c>
      <c r="E24" s="7">
        <v>5</v>
      </c>
      <c r="F24" s="7">
        <v>5</v>
      </c>
      <c r="G24" s="7">
        <v>5</v>
      </c>
      <c r="I24" s="24" t="s">
        <v>92</v>
      </c>
      <c r="J24">
        <v>3.2307692307692308</v>
      </c>
    </row>
    <row r="25" spans="1:10">
      <c r="A25" s="7" t="s">
        <v>96</v>
      </c>
      <c r="B25" s="7" t="s">
        <v>99</v>
      </c>
      <c r="C25" s="7" t="s">
        <v>93</v>
      </c>
      <c r="D25" s="7" t="s">
        <v>80</v>
      </c>
      <c r="E25" s="7">
        <v>3</v>
      </c>
      <c r="F25" s="7">
        <v>3</v>
      </c>
      <c r="G25" s="7">
        <v>3</v>
      </c>
      <c r="I25" s="31" t="s">
        <v>80</v>
      </c>
      <c r="J25">
        <v>3.5</v>
      </c>
    </row>
    <row r="26" spans="1:10">
      <c r="A26" s="7" t="s">
        <v>91</v>
      </c>
      <c r="B26" s="7" t="s">
        <v>99</v>
      </c>
      <c r="C26" s="7" t="s">
        <v>93</v>
      </c>
      <c r="D26" s="7" t="s">
        <v>95</v>
      </c>
      <c r="E26" s="7">
        <v>4</v>
      </c>
      <c r="F26" s="7">
        <v>4</v>
      </c>
      <c r="G26" s="7">
        <v>2</v>
      </c>
      <c r="I26" s="31" t="s">
        <v>94</v>
      </c>
      <c r="J26">
        <v>4</v>
      </c>
    </row>
    <row r="27" spans="1:10">
      <c r="A27" s="7" t="s">
        <v>96</v>
      </c>
      <c r="B27" s="7" t="s">
        <v>99</v>
      </c>
      <c r="C27" s="7" t="s">
        <v>93</v>
      </c>
      <c r="D27" s="7" t="s">
        <v>95</v>
      </c>
      <c r="E27" s="7">
        <v>4</v>
      </c>
      <c r="F27" s="7">
        <v>5</v>
      </c>
      <c r="G27" s="7">
        <v>3</v>
      </c>
      <c r="I27" s="31" t="s">
        <v>101</v>
      </c>
      <c r="J27">
        <v>2.5</v>
      </c>
    </row>
    <row r="28" spans="1:10">
      <c r="A28" s="7" t="s">
        <v>91</v>
      </c>
      <c r="B28" s="7" t="s">
        <v>92</v>
      </c>
      <c r="C28" s="7" t="s">
        <v>100</v>
      </c>
      <c r="D28" s="7" t="s">
        <v>80</v>
      </c>
      <c r="E28" s="7">
        <v>5</v>
      </c>
      <c r="F28" s="7">
        <v>4</v>
      </c>
      <c r="G28" s="7">
        <v>5</v>
      </c>
      <c r="I28" s="31" t="s">
        <v>95</v>
      </c>
      <c r="J28">
        <v>3</v>
      </c>
    </row>
    <row r="29" spans="1:10">
      <c r="A29" s="7" t="s">
        <v>91</v>
      </c>
      <c r="B29" s="7" t="s">
        <v>92</v>
      </c>
      <c r="C29" s="7" t="s">
        <v>100</v>
      </c>
      <c r="D29" s="7" t="s">
        <v>95</v>
      </c>
      <c r="E29" s="7">
        <v>2</v>
      </c>
      <c r="F29" s="7">
        <v>1</v>
      </c>
      <c r="G29" s="7">
        <v>3</v>
      </c>
      <c r="I29" s="24" t="s">
        <v>97</v>
      </c>
      <c r="J29">
        <v>3</v>
      </c>
    </row>
    <row r="30" spans="1:10">
      <c r="A30" s="7" t="s">
        <v>91</v>
      </c>
      <c r="B30" s="7" t="s">
        <v>92</v>
      </c>
      <c r="C30" s="7" t="s">
        <v>100</v>
      </c>
      <c r="D30" s="7" t="s">
        <v>80</v>
      </c>
      <c r="E30" s="7">
        <v>2</v>
      </c>
      <c r="F30" s="7">
        <v>4</v>
      </c>
      <c r="G30" s="7">
        <v>3</v>
      </c>
      <c r="I30" s="31" t="s">
        <v>80</v>
      </c>
      <c r="J30">
        <v>2.8333333333333335</v>
      </c>
    </row>
    <row r="31" spans="1:10">
      <c r="A31" s="7" t="s">
        <v>96</v>
      </c>
      <c r="B31" s="7" t="s">
        <v>92</v>
      </c>
      <c r="C31" s="7" t="s">
        <v>100</v>
      </c>
      <c r="D31" s="7" t="s">
        <v>95</v>
      </c>
      <c r="E31" s="7">
        <v>3</v>
      </c>
      <c r="F31" s="7">
        <v>3</v>
      </c>
      <c r="G31" s="7">
        <v>3</v>
      </c>
      <c r="I31" s="31" t="s">
        <v>101</v>
      </c>
      <c r="J31">
        <v>4</v>
      </c>
    </row>
    <row r="32" spans="1:10">
      <c r="A32" s="7" t="s">
        <v>91</v>
      </c>
      <c r="B32" s="7" t="s">
        <v>92</v>
      </c>
      <c r="C32" s="7" t="s">
        <v>100</v>
      </c>
      <c r="D32" s="7" t="s">
        <v>80</v>
      </c>
      <c r="E32" s="7">
        <v>5</v>
      </c>
      <c r="F32" s="7">
        <v>5</v>
      </c>
      <c r="G32" s="7">
        <v>3</v>
      </c>
      <c r="I32" s="31" t="s">
        <v>95</v>
      </c>
      <c r="J32">
        <v>3</v>
      </c>
    </row>
    <row r="33" spans="1:10">
      <c r="A33" s="7" t="s">
        <v>96</v>
      </c>
      <c r="B33" s="7" t="s">
        <v>92</v>
      </c>
      <c r="C33" s="7" t="s">
        <v>100</v>
      </c>
      <c r="D33" s="7" t="s">
        <v>80</v>
      </c>
      <c r="E33" s="7">
        <v>4</v>
      </c>
      <c r="F33" s="7">
        <v>3</v>
      </c>
      <c r="G33" s="7">
        <v>3</v>
      </c>
      <c r="I33" s="24" t="s">
        <v>98</v>
      </c>
      <c r="J33">
        <v>4.8</v>
      </c>
    </row>
    <row r="34" spans="1:10">
      <c r="A34" s="7" t="s">
        <v>91</v>
      </c>
      <c r="B34" s="7" t="s">
        <v>92</v>
      </c>
      <c r="C34" s="7" t="s">
        <v>100</v>
      </c>
      <c r="D34" s="7" t="s">
        <v>80</v>
      </c>
      <c r="E34" s="7">
        <v>4</v>
      </c>
      <c r="F34" s="7">
        <v>2</v>
      </c>
      <c r="G34" s="7">
        <v>4</v>
      </c>
      <c r="I34" s="31" t="s">
        <v>80</v>
      </c>
      <c r="J34">
        <v>4.666666666666667</v>
      </c>
    </row>
    <row r="35" spans="1:10">
      <c r="A35" s="7" t="s">
        <v>96</v>
      </c>
      <c r="B35" s="7" t="s">
        <v>92</v>
      </c>
      <c r="C35" s="7" t="s">
        <v>100</v>
      </c>
      <c r="D35" s="7" t="s">
        <v>95</v>
      </c>
      <c r="E35" s="7">
        <v>2</v>
      </c>
      <c r="F35" s="7">
        <v>4</v>
      </c>
      <c r="G35" s="7">
        <v>1</v>
      </c>
      <c r="I35" s="31" t="s">
        <v>95</v>
      </c>
      <c r="J35">
        <v>5</v>
      </c>
    </row>
    <row r="36" spans="1:10">
      <c r="A36" s="7" t="s">
        <v>96</v>
      </c>
      <c r="B36" s="7" t="s">
        <v>92</v>
      </c>
      <c r="C36" s="7" t="s">
        <v>100</v>
      </c>
      <c r="D36" s="7" t="s">
        <v>80</v>
      </c>
      <c r="E36" s="7">
        <v>2</v>
      </c>
      <c r="F36" s="7">
        <v>4</v>
      </c>
      <c r="G36" s="7">
        <v>3</v>
      </c>
      <c r="I36" s="24" t="s">
        <v>103</v>
      </c>
      <c r="J36">
        <v>4</v>
      </c>
    </row>
    <row r="37" spans="1:10">
      <c r="A37" s="7" t="s">
        <v>91</v>
      </c>
      <c r="B37" s="7" t="s">
        <v>92</v>
      </c>
      <c r="C37" s="7" t="s">
        <v>100</v>
      </c>
      <c r="D37" s="7" t="s">
        <v>80</v>
      </c>
      <c r="E37" s="7">
        <v>3</v>
      </c>
      <c r="F37" s="7">
        <v>3</v>
      </c>
      <c r="G37" s="7">
        <v>4</v>
      </c>
      <c r="I37" s="31" t="s">
        <v>80</v>
      </c>
      <c r="J37">
        <v>4</v>
      </c>
    </row>
    <row r="38" spans="1:10">
      <c r="A38" s="7" t="s">
        <v>96</v>
      </c>
      <c r="B38" s="7" t="s">
        <v>92</v>
      </c>
      <c r="C38" s="7" t="s">
        <v>100</v>
      </c>
      <c r="D38" s="7" t="s">
        <v>95</v>
      </c>
      <c r="E38" s="7">
        <v>3</v>
      </c>
      <c r="F38" s="7">
        <v>2</v>
      </c>
      <c r="G38" s="7">
        <v>3</v>
      </c>
      <c r="I38" s="31" t="s">
        <v>101</v>
      </c>
      <c r="J38">
        <v>4</v>
      </c>
    </row>
    <row r="39" spans="1:10">
      <c r="A39" s="7" t="s">
        <v>91</v>
      </c>
      <c r="B39" s="7" t="s">
        <v>92</v>
      </c>
      <c r="C39" s="7" t="s">
        <v>100</v>
      </c>
      <c r="D39" s="7" t="s">
        <v>95</v>
      </c>
      <c r="E39" s="7">
        <v>4</v>
      </c>
      <c r="F39" s="7">
        <v>3</v>
      </c>
      <c r="G39" s="7">
        <v>3</v>
      </c>
      <c r="I39" s="24" t="s">
        <v>99</v>
      </c>
      <c r="J39">
        <v>3.5</v>
      </c>
    </row>
    <row r="40" spans="1:10">
      <c r="A40" s="7" t="s">
        <v>96</v>
      </c>
      <c r="B40" s="7" t="s">
        <v>92</v>
      </c>
      <c r="C40" s="7" t="s">
        <v>100</v>
      </c>
      <c r="D40" s="7" t="s">
        <v>101</v>
      </c>
      <c r="E40" s="7">
        <v>4</v>
      </c>
      <c r="F40" s="7">
        <v>2</v>
      </c>
      <c r="G40" s="7">
        <v>3</v>
      </c>
      <c r="I40" s="31" t="s">
        <v>80</v>
      </c>
      <c r="J40">
        <v>2.6666666666666665</v>
      </c>
    </row>
    <row r="41" spans="1:10">
      <c r="A41" s="7" t="s">
        <v>91</v>
      </c>
      <c r="B41" s="7" t="s">
        <v>97</v>
      </c>
      <c r="C41" s="7" t="s">
        <v>100</v>
      </c>
      <c r="D41" s="7" t="s">
        <v>80</v>
      </c>
      <c r="E41" s="7">
        <v>3</v>
      </c>
      <c r="F41" s="7">
        <v>3</v>
      </c>
      <c r="G41" s="7">
        <v>3</v>
      </c>
      <c r="I41" s="31" t="s">
        <v>101</v>
      </c>
      <c r="J41">
        <v>3</v>
      </c>
    </row>
    <row r="42" spans="1:10">
      <c r="A42" s="7" t="s">
        <v>96</v>
      </c>
      <c r="B42" s="7" t="s">
        <v>97</v>
      </c>
      <c r="C42" s="7" t="s">
        <v>100</v>
      </c>
      <c r="D42" s="7" t="s">
        <v>80</v>
      </c>
      <c r="E42" s="7">
        <v>2</v>
      </c>
      <c r="F42" s="7">
        <v>3</v>
      </c>
      <c r="G42" s="7">
        <v>3</v>
      </c>
      <c r="I42" s="31" t="s">
        <v>95</v>
      </c>
      <c r="J42">
        <v>4</v>
      </c>
    </row>
    <row r="43" spans="1:10">
      <c r="A43" s="7" t="s">
        <v>91</v>
      </c>
      <c r="B43" s="7" t="s">
        <v>97</v>
      </c>
      <c r="C43" s="7" t="s">
        <v>100</v>
      </c>
      <c r="D43" s="7" t="s">
        <v>80</v>
      </c>
      <c r="E43" s="7">
        <v>4</v>
      </c>
      <c r="F43" s="7">
        <v>3</v>
      </c>
      <c r="G43" s="7">
        <v>4</v>
      </c>
      <c r="I43" s="24" t="s">
        <v>63</v>
      </c>
      <c r="J43">
        <v>3.4230769230769229</v>
      </c>
    </row>
    <row r="44" spans="1:10">
      <c r="A44" s="7" t="s">
        <v>91</v>
      </c>
      <c r="B44" s="7" t="s">
        <v>98</v>
      </c>
      <c r="C44" s="7" t="s">
        <v>100</v>
      </c>
      <c r="D44" s="7" t="s">
        <v>80</v>
      </c>
      <c r="E44" s="7">
        <v>3</v>
      </c>
      <c r="F44" s="7">
        <v>4</v>
      </c>
      <c r="G44" s="7">
        <v>4</v>
      </c>
    </row>
    <row r="45" spans="1:10">
      <c r="A45" s="7" t="s">
        <v>96</v>
      </c>
      <c r="B45" s="7" t="s">
        <v>99</v>
      </c>
      <c r="C45" s="7" t="s">
        <v>100</v>
      </c>
      <c r="D45" s="7" t="s">
        <v>95</v>
      </c>
      <c r="E45" s="7">
        <v>3</v>
      </c>
      <c r="F45" s="7">
        <v>4</v>
      </c>
      <c r="G45" s="7">
        <v>3</v>
      </c>
    </row>
    <row r="46" spans="1:10">
      <c r="A46" s="7" t="s">
        <v>96</v>
      </c>
      <c r="B46" s="7" t="s">
        <v>99</v>
      </c>
      <c r="C46" s="7" t="s">
        <v>100</v>
      </c>
      <c r="D46" s="7" t="s">
        <v>95</v>
      </c>
      <c r="E46" s="7">
        <v>4</v>
      </c>
      <c r="F46" s="7">
        <v>3</v>
      </c>
      <c r="G46" s="7">
        <v>1</v>
      </c>
      <c r="I46" s="5" t="s">
        <v>111</v>
      </c>
    </row>
    <row r="47" spans="1:10">
      <c r="A47" s="7" t="s">
        <v>91</v>
      </c>
      <c r="B47" s="7" t="s">
        <v>92</v>
      </c>
      <c r="C47" s="7" t="s">
        <v>102</v>
      </c>
      <c r="D47" s="7" t="s">
        <v>80</v>
      </c>
      <c r="E47" s="7">
        <v>3</v>
      </c>
      <c r="F47" s="7">
        <v>3</v>
      </c>
      <c r="G47" s="7">
        <v>3</v>
      </c>
      <c r="I47" s="30" t="s">
        <v>62</v>
      </c>
      <c r="J47" t="s">
        <v>107</v>
      </c>
    </row>
    <row r="48" spans="1:10">
      <c r="A48" s="7" t="s">
        <v>91</v>
      </c>
      <c r="B48" s="7" t="s">
        <v>92</v>
      </c>
      <c r="C48" s="7" t="s">
        <v>102</v>
      </c>
      <c r="D48" s="7" t="s">
        <v>80</v>
      </c>
      <c r="E48" s="7">
        <v>3</v>
      </c>
      <c r="F48" s="7">
        <v>3</v>
      </c>
      <c r="G48" s="7">
        <v>2</v>
      </c>
      <c r="I48" s="24" t="s">
        <v>92</v>
      </c>
      <c r="J48">
        <v>0.98615384615384638</v>
      </c>
    </row>
    <row r="49" spans="1:10">
      <c r="A49" s="7" t="s">
        <v>91</v>
      </c>
      <c r="B49" s="7" t="s">
        <v>92</v>
      </c>
      <c r="C49" s="7" t="s">
        <v>102</v>
      </c>
      <c r="D49" s="7" t="s">
        <v>101</v>
      </c>
      <c r="E49" s="7">
        <v>3</v>
      </c>
      <c r="F49" s="7">
        <v>3</v>
      </c>
      <c r="G49" s="7">
        <v>3</v>
      </c>
      <c r="I49" s="31" t="s">
        <v>96</v>
      </c>
      <c r="J49">
        <v>0.6964285714285714</v>
      </c>
    </row>
    <row r="50" spans="1:10">
      <c r="A50" s="7" t="s">
        <v>91</v>
      </c>
      <c r="B50" s="7" t="s">
        <v>97</v>
      </c>
      <c r="C50" s="7" t="s">
        <v>102</v>
      </c>
      <c r="D50" s="7" t="s">
        <v>80</v>
      </c>
      <c r="E50" s="7">
        <v>3</v>
      </c>
      <c r="F50" s="7">
        <v>3</v>
      </c>
      <c r="G50" s="7">
        <v>5</v>
      </c>
      <c r="I50" s="31" t="s">
        <v>91</v>
      </c>
      <c r="J50">
        <v>1.1241830065359479</v>
      </c>
    </row>
    <row r="51" spans="1:10">
      <c r="A51" s="7" t="s">
        <v>91</v>
      </c>
      <c r="B51" s="7" t="s">
        <v>97</v>
      </c>
      <c r="C51" s="7" t="s">
        <v>102</v>
      </c>
      <c r="D51" s="7" t="s">
        <v>95</v>
      </c>
      <c r="E51" s="7">
        <v>4</v>
      </c>
      <c r="F51" s="7">
        <v>3</v>
      </c>
      <c r="G51" s="7">
        <v>3</v>
      </c>
      <c r="I51" s="24" t="s">
        <v>97</v>
      </c>
      <c r="J51">
        <v>0.77777777777777857</v>
      </c>
    </row>
    <row r="52" spans="1:10">
      <c r="A52" s="7" t="s">
        <v>91</v>
      </c>
      <c r="B52" s="7" t="s">
        <v>97</v>
      </c>
      <c r="C52" s="7" t="s">
        <v>102</v>
      </c>
      <c r="D52" s="7" t="s">
        <v>95</v>
      </c>
      <c r="E52" s="7">
        <v>1</v>
      </c>
      <c r="F52" s="7">
        <v>3</v>
      </c>
      <c r="G52" s="7">
        <v>4</v>
      </c>
      <c r="I52" s="31" t="s">
        <v>96</v>
      </c>
      <c r="J52">
        <v>0</v>
      </c>
    </row>
    <row r="53" spans="1:10">
      <c r="A53" s="7" t="s">
        <v>91</v>
      </c>
      <c r="B53" s="7" t="s">
        <v>97</v>
      </c>
      <c r="C53" s="7" t="s">
        <v>102</v>
      </c>
      <c r="D53" s="7" t="s">
        <v>101</v>
      </c>
      <c r="E53" s="7">
        <v>4</v>
      </c>
      <c r="F53" s="7">
        <v>4</v>
      </c>
      <c r="G53" s="7">
        <v>2</v>
      </c>
      <c r="I53" s="31" t="s">
        <v>91</v>
      </c>
      <c r="J53">
        <v>0.95238095238095133</v>
      </c>
    </row>
    <row r="54" spans="1:10">
      <c r="A54" s="7" t="s">
        <v>96</v>
      </c>
      <c r="B54" s="7" t="s">
        <v>97</v>
      </c>
      <c r="C54" s="7" t="s">
        <v>102</v>
      </c>
      <c r="D54" s="7" t="s">
        <v>80</v>
      </c>
      <c r="E54" s="7">
        <v>2</v>
      </c>
      <c r="F54" s="7">
        <v>3</v>
      </c>
      <c r="G54" s="7">
        <v>3</v>
      </c>
      <c r="I54" s="24" t="s">
        <v>98</v>
      </c>
      <c r="J54">
        <v>0.19999999999999929</v>
      </c>
    </row>
    <row r="55" spans="1:10">
      <c r="A55" s="7" t="s">
        <v>96</v>
      </c>
      <c r="B55" s="7" t="s">
        <v>103</v>
      </c>
      <c r="C55" s="7" t="s">
        <v>102</v>
      </c>
      <c r="D55" s="7" t="s">
        <v>101</v>
      </c>
      <c r="E55" s="7">
        <v>3</v>
      </c>
      <c r="F55" s="7">
        <v>4</v>
      </c>
      <c r="G55" s="7">
        <v>4</v>
      </c>
      <c r="I55" s="31" t="s">
        <v>96</v>
      </c>
      <c r="J55">
        <v>0</v>
      </c>
    </row>
    <row r="56" spans="1:10">
      <c r="A56" s="7" t="s">
        <v>91</v>
      </c>
      <c r="B56" s="7" t="s">
        <v>103</v>
      </c>
      <c r="C56" s="7" t="s">
        <v>102</v>
      </c>
      <c r="D56" s="7" t="s">
        <v>80</v>
      </c>
      <c r="E56" s="7">
        <v>3</v>
      </c>
      <c r="F56" s="7">
        <v>4</v>
      </c>
      <c r="G56" s="7">
        <v>3</v>
      </c>
      <c r="I56" s="31" t="s">
        <v>91</v>
      </c>
      <c r="J56">
        <v>0.33333333333333215</v>
      </c>
    </row>
    <row r="57" spans="1:10">
      <c r="A57" s="7" t="s">
        <v>91</v>
      </c>
      <c r="B57" s="7" t="s">
        <v>99</v>
      </c>
      <c r="C57" s="7" t="s">
        <v>102</v>
      </c>
      <c r="D57" s="7" t="s">
        <v>101</v>
      </c>
      <c r="E57" s="7">
        <v>3</v>
      </c>
      <c r="F57" s="7">
        <v>3</v>
      </c>
      <c r="G57" s="7">
        <v>4</v>
      </c>
      <c r="I57" s="24" t="s">
        <v>103</v>
      </c>
      <c r="J57">
        <v>0.5</v>
      </c>
    </row>
    <row r="58" spans="1:10">
      <c r="A58" s="7" t="s">
        <v>91</v>
      </c>
      <c r="B58" s="7" t="s">
        <v>99</v>
      </c>
      <c r="C58" s="7" t="s">
        <v>102</v>
      </c>
      <c r="D58" s="7" t="s">
        <v>80</v>
      </c>
      <c r="E58" s="7">
        <v>4</v>
      </c>
      <c r="F58" s="7">
        <v>2</v>
      </c>
      <c r="G58" s="7">
        <v>4</v>
      </c>
      <c r="I58" s="31" t="s">
        <v>96</v>
      </c>
      <c r="J58" t="e">
        <v>#DIV/0!</v>
      </c>
    </row>
    <row r="59" spans="1:10">
      <c r="I59" s="31" t="s">
        <v>91</v>
      </c>
      <c r="J59" t="e">
        <v>#DIV/0!</v>
      </c>
    </row>
    <row r="60" spans="1:10">
      <c r="A60" s="151" t="s">
        <v>112</v>
      </c>
      <c r="B60" s="151"/>
      <c r="C60" s="151"/>
      <c r="D60" s="151"/>
      <c r="E60" s="151"/>
      <c r="F60" s="151"/>
      <c r="G60" s="151"/>
      <c r="I60" s="24" t="s">
        <v>99</v>
      </c>
      <c r="J60">
        <v>1.3333333333333333</v>
      </c>
    </row>
    <row r="61" spans="1:10">
      <c r="A61" s="151"/>
      <c r="B61" s="151"/>
      <c r="C61" s="151"/>
      <c r="D61" s="151"/>
      <c r="E61" s="151"/>
      <c r="F61" s="151"/>
      <c r="G61" s="151"/>
      <c r="I61" s="31" t="s">
        <v>96</v>
      </c>
      <c r="J61">
        <v>0.79999999999999982</v>
      </c>
    </row>
    <row r="62" spans="1:10">
      <c r="A62" s="151"/>
      <c r="B62" s="151"/>
      <c r="C62" s="151"/>
      <c r="D62" s="151"/>
      <c r="E62" s="151"/>
      <c r="F62" s="151"/>
      <c r="G62" s="151"/>
      <c r="I62" s="31" t="s">
        <v>91</v>
      </c>
      <c r="J62">
        <v>1.3000000000000007</v>
      </c>
    </row>
    <row r="63" spans="1:10">
      <c r="A63" s="151"/>
      <c r="B63" s="151"/>
      <c r="C63" s="151"/>
      <c r="D63" s="151"/>
      <c r="E63" s="151"/>
      <c r="F63" s="151"/>
      <c r="G63" s="151"/>
      <c r="I63" s="24" t="s">
        <v>63</v>
      </c>
      <c r="J63">
        <v>0.92609351432880949</v>
      </c>
    </row>
    <row r="64" spans="1:10">
      <c r="A64" s="151"/>
      <c r="B64" s="151"/>
      <c r="C64" s="151"/>
      <c r="D64" s="151"/>
      <c r="E64" s="151"/>
      <c r="F64" s="151"/>
      <c r="G64" s="151"/>
    </row>
    <row r="65" spans="1:7">
      <c r="A65" s="151"/>
      <c r="B65" s="151"/>
      <c r="C65" s="151"/>
      <c r="D65" s="151"/>
      <c r="E65" s="151"/>
      <c r="F65" s="151"/>
      <c r="G65" s="151"/>
    </row>
    <row r="66" spans="1:7">
      <c r="A66" s="151"/>
      <c r="B66" s="151"/>
      <c r="C66" s="151"/>
      <c r="D66" s="151"/>
      <c r="E66" s="151"/>
      <c r="F66" s="151"/>
      <c r="G66" s="151"/>
    </row>
    <row r="67" spans="1:7">
      <c r="A67" s="151"/>
      <c r="B67" s="151"/>
      <c r="C67" s="151"/>
      <c r="D67" s="151"/>
      <c r="E67" s="151"/>
      <c r="F67" s="151"/>
      <c r="G67" s="151"/>
    </row>
    <row r="68" spans="1:7">
      <c r="A68" s="151"/>
      <c r="B68" s="151"/>
      <c r="C68" s="151"/>
      <c r="D68" s="151"/>
      <c r="E68" s="151"/>
      <c r="F68" s="151"/>
      <c r="G68" s="151"/>
    </row>
    <row r="69" spans="1:7">
      <c r="A69" s="151"/>
      <c r="B69" s="151"/>
      <c r="C69" s="151"/>
      <c r="D69" s="151"/>
      <c r="E69" s="151"/>
      <c r="F69" s="151"/>
      <c r="G69" s="151"/>
    </row>
  </sheetData>
  <mergeCells count="1">
    <mergeCell ref="A60:G69"/>
  </mergeCells>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0DBD1-B0E2-44EB-BCE6-3E4CC25857BC}">
  <dimension ref="A1:L442"/>
  <sheetViews>
    <sheetView topLeftCell="A430" workbookViewId="0">
      <selection activeCell="C434" sqref="C434"/>
    </sheetView>
  </sheetViews>
  <sheetFormatPr defaultRowHeight="15"/>
  <cols>
    <col min="1" max="1" width="14.140625" style="23" bestFit="1" customWidth="1"/>
    <col min="2" max="2" width="42.140625" style="23" customWidth="1"/>
    <col min="3" max="3" width="7.7109375" style="23" customWidth="1"/>
    <col min="4" max="4" width="16.7109375" customWidth="1"/>
    <col min="5" max="5" width="16.85546875" style="23" customWidth="1"/>
    <col min="6" max="6" width="7.140625" style="23" customWidth="1"/>
    <col min="7" max="7" width="13.7109375" style="23" customWidth="1"/>
    <col min="8" max="8" width="4.28515625" bestFit="1" customWidth="1"/>
    <col min="9" max="9" width="8" style="23" bestFit="1" customWidth="1"/>
    <col min="10" max="10" width="5.7109375" bestFit="1" customWidth="1"/>
    <col min="11" max="11" width="11" style="23" bestFit="1" customWidth="1"/>
    <col min="12" max="12" width="10.140625" style="23" bestFit="1" customWidth="1"/>
  </cols>
  <sheetData>
    <row r="1" spans="1:12">
      <c r="A1" s="5" t="s">
        <v>0</v>
      </c>
    </row>
    <row r="2" spans="1:12">
      <c r="A2" s="5" t="s">
        <v>143</v>
      </c>
    </row>
    <row r="4" spans="1:12">
      <c r="A4" s="48" t="s">
        <v>113</v>
      </c>
    </row>
    <row r="6" spans="1:12" ht="15.75" thickBot="1">
      <c r="A6" s="49" t="s">
        <v>114</v>
      </c>
      <c r="B6" s="49" t="s">
        <v>115</v>
      </c>
      <c r="C6" s="49" t="s">
        <v>116</v>
      </c>
      <c r="D6" s="50" t="s">
        <v>117</v>
      </c>
      <c r="E6" s="49" t="s">
        <v>118</v>
      </c>
      <c r="F6" s="49" t="s">
        <v>4</v>
      </c>
      <c r="G6" s="49" t="s">
        <v>119</v>
      </c>
      <c r="H6" s="50" t="s">
        <v>120</v>
      </c>
      <c r="I6" s="49" t="s">
        <v>121</v>
      </c>
      <c r="J6" s="50" t="s">
        <v>122</v>
      </c>
      <c r="K6" s="49" t="s">
        <v>123</v>
      </c>
      <c r="L6" s="49" t="s">
        <v>124</v>
      </c>
    </row>
    <row r="7" spans="1:12" ht="15.75" thickTop="1">
      <c r="A7" s="51" t="s">
        <v>125</v>
      </c>
      <c r="B7" s="52">
        <v>0</v>
      </c>
      <c r="C7" s="52">
        <v>739</v>
      </c>
      <c r="D7" s="53">
        <v>13</v>
      </c>
      <c r="E7" s="51">
        <v>12</v>
      </c>
      <c r="F7" s="51" t="s">
        <v>91</v>
      </c>
      <c r="G7" s="51" t="s">
        <v>126</v>
      </c>
      <c r="H7" s="53">
        <v>23</v>
      </c>
      <c r="I7" s="51" t="s">
        <v>127</v>
      </c>
      <c r="J7" s="53">
        <v>3</v>
      </c>
      <c r="K7" s="51" t="s">
        <v>128</v>
      </c>
      <c r="L7" s="51" t="s">
        <v>101</v>
      </c>
    </row>
    <row r="8" spans="1:12">
      <c r="A8" s="51" t="s">
        <v>129</v>
      </c>
      <c r="B8" s="52">
        <v>0</v>
      </c>
      <c r="C8" s="52">
        <v>1230</v>
      </c>
      <c r="D8" s="53">
        <v>25</v>
      </c>
      <c r="E8" s="51">
        <v>0</v>
      </c>
      <c r="F8" s="51" t="s">
        <v>91</v>
      </c>
      <c r="G8" s="51" t="s">
        <v>130</v>
      </c>
      <c r="H8" s="53">
        <v>32</v>
      </c>
      <c r="I8" s="51" t="s">
        <v>127</v>
      </c>
      <c r="J8" s="53">
        <v>1</v>
      </c>
      <c r="K8" s="51" t="s">
        <v>131</v>
      </c>
      <c r="L8" s="51" t="s">
        <v>94</v>
      </c>
    </row>
    <row r="9" spans="1:12" hidden="1">
      <c r="A9" s="51" t="s">
        <v>132</v>
      </c>
      <c r="B9" s="52">
        <v>0</v>
      </c>
      <c r="C9" s="52">
        <v>389</v>
      </c>
      <c r="D9" s="53">
        <v>19</v>
      </c>
      <c r="E9" s="51">
        <v>119</v>
      </c>
      <c r="F9" s="51" t="s">
        <v>91</v>
      </c>
      <c r="G9" s="51" t="s">
        <v>126</v>
      </c>
      <c r="H9" s="53">
        <v>38</v>
      </c>
      <c r="I9" s="51" t="s">
        <v>127</v>
      </c>
      <c r="J9" s="53">
        <v>4</v>
      </c>
      <c r="K9" s="51" t="s">
        <v>133</v>
      </c>
      <c r="L9" s="51" t="s">
        <v>94</v>
      </c>
    </row>
    <row r="10" spans="1:12" hidden="1">
      <c r="A10" s="51" t="s">
        <v>129</v>
      </c>
      <c r="B10" s="52">
        <v>638</v>
      </c>
      <c r="C10" s="52">
        <v>347</v>
      </c>
      <c r="D10" s="53">
        <v>13</v>
      </c>
      <c r="E10" s="51">
        <v>14</v>
      </c>
      <c r="F10" s="51" t="s">
        <v>91</v>
      </c>
      <c r="G10" s="51" t="s">
        <v>126</v>
      </c>
      <c r="H10" s="53">
        <v>36</v>
      </c>
      <c r="I10" s="51" t="s">
        <v>127</v>
      </c>
      <c r="J10" s="53">
        <v>2</v>
      </c>
      <c r="K10" s="51" t="s">
        <v>128</v>
      </c>
      <c r="L10" s="51" t="s">
        <v>94</v>
      </c>
    </row>
    <row r="11" spans="1:12" hidden="1">
      <c r="A11" s="51" t="s">
        <v>134</v>
      </c>
      <c r="B11" s="52">
        <v>963</v>
      </c>
      <c r="C11" s="52">
        <v>4754</v>
      </c>
      <c r="D11" s="53">
        <v>40</v>
      </c>
      <c r="E11" s="51">
        <v>45</v>
      </c>
      <c r="F11" s="51" t="s">
        <v>91</v>
      </c>
      <c r="G11" s="51" t="s">
        <v>126</v>
      </c>
      <c r="H11" s="53">
        <v>31</v>
      </c>
      <c r="I11" s="51" t="s">
        <v>135</v>
      </c>
      <c r="J11" s="53">
        <v>3</v>
      </c>
      <c r="K11" s="51" t="s">
        <v>131</v>
      </c>
      <c r="L11" s="51" t="s">
        <v>101</v>
      </c>
    </row>
    <row r="12" spans="1:12" hidden="1">
      <c r="A12" s="51" t="s">
        <v>129</v>
      </c>
      <c r="B12" s="52">
        <v>2827</v>
      </c>
      <c r="C12" s="52">
        <v>0</v>
      </c>
      <c r="D12" s="53">
        <v>11</v>
      </c>
      <c r="E12" s="51">
        <v>13</v>
      </c>
      <c r="F12" s="51" t="s">
        <v>91</v>
      </c>
      <c r="G12" s="51" t="s">
        <v>136</v>
      </c>
      <c r="H12" s="53">
        <v>25</v>
      </c>
      <c r="I12" s="51" t="s">
        <v>127</v>
      </c>
      <c r="J12" s="53">
        <v>1</v>
      </c>
      <c r="K12" s="51" t="s">
        <v>131</v>
      </c>
      <c r="L12" s="51" t="s">
        <v>101</v>
      </c>
    </row>
    <row r="13" spans="1:12" hidden="1">
      <c r="A13" s="51" t="s">
        <v>132</v>
      </c>
      <c r="B13" s="52">
        <v>0</v>
      </c>
      <c r="C13" s="52">
        <v>229</v>
      </c>
      <c r="D13" s="53">
        <v>13</v>
      </c>
      <c r="E13" s="51">
        <v>16</v>
      </c>
      <c r="F13" s="51" t="s">
        <v>91</v>
      </c>
      <c r="G13" s="51" t="s">
        <v>136</v>
      </c>
      <c r="H13" s="53">
        <v>26</v>
      </c>
      <c r="I13" s="51" t="s">
        <v>127</v>
      </c>
      <c r="J13" s="53">
        <v>3</v>
      </c>
      <c r="K13" s="51" t="s">
        <v>128</v>
      </c>
      <c r="L13" s="51" t="s">
        <v>101</v>
      </c>
    </row>
    <row r="14" spans="1:12" hidden="1">
      <c r="A14" s="51" t="s">
        <v>137</v>
      </c>
      <c r="B14" s="52">
        <v>0</v>
      </c>
      <c r="C14" s="52">
        <v>533</v>
      </c>
      <c r="D14" s="53">
        <v>14</v>
      </c>
      <c r="E14" s="51">
        <v>2</v>
      </c>
      <c r="F14" s="51" t="s">
        <v>91</v>
      </c>
      <c r="G14" s="51" t="s">
        <v>126</v>
      </c>
      <c r="H14" s="53">
        <v>27</v>
      </c>
      <c r="I14" s="51" t="s">
        <v>127</v>
      </c>
      <c r="J14" s="53">
        <v>1</v>
      </c>
      <c r="K14" s="51" t="s">
        <v>128</v>
      </c>
      <c r="L14" s="51" t="s">
        <v>101</v>
      </c>
    </row>
    <row r="15" spans="1:12" hidden="1">
      <c r="A15" s="51" t="s">
        <v>125</v>
      </c>
      <c r="B15" s="52">
        <v>6509</v>
      </c>
      <c r="C15" s="52">
        <v>493</v>
      </c>
      <c r="D15" s="53">
        <v>37</v>
      </c>
      <c r="E15" s="51">
        <v>9</v>
      </c>
      <c r="F15" s="51" t="s">
        <v>91</v>
      </c>
      <c r="G15" s="51" t="s">
        <v>126</v>
      </c>
      <c r="H15" s="53">
        <v>25</v>
      </c>
      <c r="I15" s="51" t="s">
        <v>127</v>
      </c>
      <c r="J15" s="53">
        <v>2</v>
      </c>
      <c r="K15" s="51" t="s">
        <v>131</v>
      </c>
      <c r="L15" s="51" t="s">
        <v>94</v>
      </c>
    </row>
    <row r="16" spans="1:12" hidden="1">
      <c r="A16" s="51" t="s">
        <v>125</v>
      </c>
      <c r="B16" s="52">
        <v>966</v>
      </c>
      <c r="C16" s="52">
        <v>0</v>
      </c>
      <c r="D16" s="53">
        <v>25</v>
      </c>
      <c r="E16" s="51">
        <v>4</v>
      </c>
      <c r="F16" s="51" t="s">
        <v>96</v>
      </c>
      <c r="G16" s="51" t="s">
        <v>130</v>
      </c>
      <c r="H16" s="53">
        <v>43</v>
      </c>
      <c r="I16" s="51" t="s">
        <v>127</v>
      </c>
      <c r="J16" s="53">
        <v>1</v>
      </c>
      <c r="K16" s="51" t="s">
        <v>131</v>
      </c>
      <c r="L16" s="51" t="s">
        <v>94</v>
      </c>
    </row>
    <row r="17" spans="1:12" hidden="1">
      <c r="A17" s="51" t="s">
        <v>137</v>
      </c>
      <c r="B17" s="52">
        <v>0</v>
      </c>
      <c r="C17" s="52">
        <v>989</v>
      </c>
      <c r="D17" s="53">
        <v>49</v>
      </c>
      <c r="E17" s="51">
        <v>0</v>
      </c>
      <c r="F17" s="51" t="s">
        <v>91</v>
      </c>
      <c r="G17" s="51" t="s">
        <v>126</v>
      </c>
      <c r="H17" s="53">
        <v>32</v>
      </c>
      <c r="I17" s="51" t="s">
        <v>135</v>
      </c>
      <c r="J17" s="53">
        <v>2</v>
      </c>
      <c r="K17" s="51" t="s">
        <v>133</v>
      </c>
      <c r="L17" s="51" t="s">
        <v>94</v>
      </c>
    </row>
    <row r="18" spans="1:12" hidden="1">
      <c r="A18" s="51" t="s">
        <v>132</v>
      </c>
      <c r="B18" s="52">
        <v>0</v>
      </c>
      <c r="C18" s="52">
        <v>3305</v>
      </c>
      <c r="D18" s="53">
        <v>11</v>
      </c>
      <c r="E18" s="51">
        <v>15</v>
      </c>
      <c r="F18" s="51" t="s">
        <v>91</v>
      </c>
      <c r="G18" s="51" t="s">
        <v>126</v>
      </c>
      <c r="H18" s="53">
        <v>34</v>
      </c>
      <c r="I18" s="51" t="s">
        <v>135</v>
      </c>
      <c r="J18" s="53">
        <v>2</v>
      </c>
      <c r="K18" s="51" t="s">
        <v>128</v>
      </c>
      <c r="L18" s="51" t="s">
        <v>101</v>
      </c>
    </row>
    <row r="19" spans="1:12" hidden="1">
      <c r="A19" s="51" t="s">
        <v>137</v>
      </c>
      <c r="B19" s="52">
        <v>322</v>
      </c>
      <c r="C19" s="52">
        <v>578</v>
      </c>
      <c r="D19" s="53">
        <v>10</v>
      </c>
      <c r="E19" s="51">
        <v>14</v>
      </c>
      <c r="F19" s="51" t="s">
        <v>91</v>
      </c>
      <c r="G19" s="51" t="s">
        <v>136</v>
      </c>
      <c r="H19" s="53">
        <v>26</v>
      </c>
      <c r="I19" s="51" t="s">
        <v>127</v>
      </c>
      <c r="J19" s="53">
        <v>1</v>
      </c>
      <c r="K19" s="51" t="s">
        <v>131</v>
      </c>
      <c r="L19" s="51" t="s">
        <v>101</v>
      </c>
    </row>
    <row r="20" spans="1:12" hidden="1">
      <c r="A20" s="51" t="s">
        <v>132</v>
      </c>
      <c r="B20" s="52">
        <v>0</v>
      </c>
      <c r="C20" s="52">
        <v>821</v>
      </c>
      <c r="D20" s="53">
        <v>25</v>
      </c>
      <c r="E20" s="51">
        <v>63</v>
      </c>
      <c r="F20" s="51" t="s">
        <v>91</v>
      </c>
      <c r="G20" s="51" t="s">
        <v>126</v>
      </c>
      <c r="H20" s="53">
        <v>44</v>
      </c>
      <c r="I20" s="51" t="s">
        <v>127</v>
      </c>
      <c r="J20" s="53">
        <v>1</v>
      </c>
      <c r="K20" s="51" t="s">
        <v>131</v>
      </c>
      <c r="L20" s="51" t="s">
        <v>94</v>
      </c>
    </row>
    <row r="21" spans="1:12" hidden="1">
      <c r="A21" s="51" t="s">
        <v>132</v>
      </c>
      <c r="B21" s="52">
        <v>396</v>
      </c>
      <c r="C21" s="52">
        <v>228</v>
      </c>
      <c r="D21" s="53">
        <v>13</v>
      </c>
      <c r="E21" s="51">
        <v>26</v>
      </c>
      <c r="F21" s="51" t="s">
        <v>91</v>
      </c>
      <c r="G21" s="51" t="s">
        <v>126</v>
      </c>
      <c r="H21" s="53">
        <v>46</v>
      </c>
      <c r="I21" s="51" t="s">
        <v>127</v>
      </c>
      <c r="J21" s="53">
        <v>3</v>
      </c>
      <c r="K21" s="51" t="s">
        <v>128</v>
      </c>
      <c r="L21" s="51" t="s">
        <v>101</v>
      </c>
    </row>
    <row r="22" spans="1:12" hidden="1">
      <c r="A22" s="51" t="s">
        <v>138</v>
      </c>
      <c r="B22" s="52">
        <v>0</v>
      </c>
      <c r="C22" s="52">
        <v>129</v>
      </c>
      <c r="D22" s="53">
        <v>31</v>
      </c>
      <c r="E22" s="51">
        <v>8</v>
      </c>
      <c r="F22" s="51" t="s">
        <v>91</v>
      </c>
      <c r="G22" s="51" t="s">
        <v>130</v>
      </c>
      <c r="H22" s="53">
        <v>39</v>
      </c>
      <c r="I22" s="51" t="s">
        <v>127</v>
      </c>
      <c r="J22" s="53">
        <v>4</v>
      </c>
      <c r="K22" s="51" t="s">
        <v>133</v>
      </c>
      <c r="L22" s="51" t="s">
        <v>101</v>
      </c>
    </row>
    <row r="23" spans="1:12" hidden="1">
      <c r="A23" s="51" t="s">
        <v>129</v>
      </c>
      <c r="B23" s="52">
        <v>652</v>
      </c>
      <c r="C23" s="52">
        <v>732</v>
      </c>
      <c r="D23" s="53">
        <v>49</v>
      </c>
      <c r="E23" s="51">
        <v>4</v>
      </c>
      <c r="F23" s="51" t="s">
        <v>96</v>
      </c>
      <c r="G23" s="51" t="s">
        <v>130</v>
      </c>
      <c r="H23" s="53">
        <v>25</v>
      </c>
      <c r="I23" s="51" t="s">
        <v>127</v>
      </c>
      <c r="J23" s="53">
        <v>2</v>
      </c>
      <c r="K23" s="51" t="s">
        <v>131</v>
      </c>
      <c r="L23" s="51" t="s">
        <v>94</v>
      </c>
    </row>
    <row r="24" spans="1:12" hidden="1">
      <c r="A24" s="51" t="s">
        <v>132</v>
      </c>
      <c r="B24" s="52">
        <v>708</v>
      </c>
      <c r="C24" s="52">
        <v>683</v>
      </c>
      <c r="D24" s="53">
        <v>13</v>
      </c>
      <c r="E24" s="51">
        <v>33</v>
      </c>
      <c r="F24" s="51" t="s">
        <v>91</v>
      </c>
      <c r="G24" s="51" t="s">
        <v>126</v>
      </c>
      <c r="H24" s="53">
        <v>31</v>
      </c>
      <c r="I24" s="51" t="s">
        <v>127</v>
      </c>
      <c r="J24" s="53">
        <v>2</v>
      </c>
      <c r="K24" s="51" t="s">
        <v>131</v>
      </c>
      <c r="L24" s="51" t="s">
        <v>101</v>
      </c>
    </row>
    <row r="25" spans="1:12" hidden="1">
      <c r="A25" s="51" t="s">
        <v>139</v>
      </c>
      <c r="B25" s="52">
        <v>207</v>
      </c>
      <c r="C25" s="52">
        <v>0</v>
      </c>
      <c r="D25" s="53">
        <v>28</v>
      </c>
      <c r="E25" s="51">
        <v>116</v>
      </c>
      <c r="F25" s="51" t="s">
        <v>91</v>
      </c>
      <c r="G25" s="51" t="s">
        <v>126</v>
      </c>
      <c r="H25" s="53">
        <v>47</v>
      </c>
      <c r="I25" s="51" t="s">
        <v>127</v>
      </c>
      <c r="J25" s="53">
        <v>4</v>
      </c>
      <c r="K25" s="51" t="s">
        <v>131</v>
      </c>
      <c r="L25" s="51" t="s">
        <v>101</v>
      </c>
    </row>
    <row r="26" spans="1:12" hidden="1">
      <c r="A26" s="51" t="s">
        <v>134</v>
      </c>
      <c r="B26" s="52">
        <v>287</v>
      </c>
      <c r="C26" s="52">
        <v>12348</v>
      </c>
      <c r="D26" s="53">
        <v>7</v>
      </c>
      <c r="E26" s="51">
        <v>2</v>
      </c>
      <c r="F26" s="51" t="s">
        <v>96</v>
      </c>
      <c r="G26" s="51" t="s">
        <v>130</v>
      </c>
      <c r="H26" s="53">
        <v>23</v>
      </c>
      <c r="I26" s="51" t="s">
        <v>135</v>
      </c>
      <c r="J26" s="53">
        <v>2</v>
      </c>
      <c r="K26" s="51" t="s">
        <v>131</v>
      </c>
      <c r="L26" s="51" t="s">
        <v>94</v>
      </c>
    </row>
    <row r="27" spans="1:12" hidden="1">
      <c r="A27" s="51" t="s">
        <v>129</v>
      </c>
      <c r="B27" s="52">
        <v>0</v>
      </c>
      <c r="C27" s="52">
        <v>17545</v>
      </c>
      <c r="D27" s="53">
        <v>34</v>
      </c>
      <c r="E27" s="51">
        <v>16</v>
      </c>
      <c r="F27" s="51" t="s">
        <v>96</v>
      </c>
      <c r="G27" s="51" t="s">
        <v>130</v>
      </c>
      <c r="H27" s="53">
        <v>22</v>
      </c>
      <c r="I27" s="51" t="s">
        <v>127</v>
      </c>
      <c r="J27" s="53">
        <v>4</v>
      </c>
      <c r="K27" s="51" t="s">
        <v>131</v>
      </c>
      <c r="L27" s="51" t="s">
        <v>94</v>
      </c>
    </row>
    <row r="28" spans="1:12" hidden="1">
      <c r="A28" s="51" t="s">
        <v>129</v>
      </c>
      <c r="B28" s="52">
        <v>101</v>
      </c>
      <c r="C28" s="52">
        <v>3871</v>
      </c>
      <c r="D28" s="53">
        <v>13</v>
      </c>
      <c r="E28" s="51">
        <v>5</v>
      </c>
      <c r="F28" s="51" t="s">
        <v>96</v>
      </c>
      <c r="G28" s="51" t="s">
        <v>130</v>
      </c>
      <c r="H28" s="53">
        <v>26</v>
      </c>
      <c r="I28" s="51" t="s">
        <v>135</v>
      </c>
      <c r="J28" s="53">
        <v>4</v>
      </c>
      <c r="K28" s="51" t="s">
        <v>131</v>
      </c>
      <c r="L28" s="51" t="s">
        <v>94</v>
      </c>
    </row>
    <row r="29" spans="1:12" hidden="1">
      <c r="A29" s="51" t="s">
        <v>129</v>
      </c>
      <c r="B29" s="52">
        <v>0</v>
      </c>
      <c r="C29" s="52">
        <v>0</v>
      </c>
      <c r="D29" s="53">
        <v>25</v>
      </c>
      <c r="E29" s="51">
        <v>23</v>
      </c>
      <c r="F29" s="51" t="s">
        <v>91</v>
      </c>
      <c r="G29" s="51" t="s">
        <v>136</v>
      </c>
      <c r="H29" s="53">
        <v>19</v>
      </c>
      <c r="I29" s="51" t="s">
        <v>127</v>
      </c>
      <c r="J29" s="53">
        <v>4</v>
      </c>
      <c r="K29" s="51" t="s">
        <v>131</v>
      </c>
      <c r="L29" s="51" t="s">
        <v>94</v>
      </c>
    </row>
    <row r="30" spans="1:12" hidden="1">
      <c r="A30" s="51" t="s">
        <v>129</v>
      </c>
      <c r="B30" s="52">
        <v>0</v>
      </c>
      <c r="C30" s="52">
        <v>485</v>
      </c>
      <c r="D30" s="53">
        <v>37</v>
      </c>
      <c r="E30" s="51">
        <v>23</v>
      </c>
      <c r="F30" s="51" t="s">
        <v>96</v>
      </c>
      <c r="G30" s="51" t="s">
        <v>130</v>
      </c>
      <c r="H30" s="53">
        <v>27</v>
      </c>
      <c r="I30" s="51" t="s">
        <v>127</v>
      </c>
      <c r="J30" s="53">
        <v>2</v>
      </c>
      <c r="K30" s="51" t="s">
        <v>133</v>
      </c>
      <c r="L30" s="51" t="s">
        <v>94</v>
      </c>
    </row>
    <row r="31" spans="1:12" hidden="1">
      <c r="A31" s="51" t="s">
        <v>132</v>
      </c>
      <c r="B31" s="52">
        <v>0</v>
      </c>
      <c r="C31" s="52">
        <v>10723</v>
      </c>
      <c r="D31" s="53">
        <v>11</v>
      </c>
      <c r="E31" s="51">
        <v>15</v>
      </c>
      <c r="F31" s="51" t="s">
        <v>91</v>
      </c>
      <c r="G31" s="51" t="s">
        <v>126</v>
      </c>
      <c r="H31" s="53">
        <v>39</v>
      </c>
      <c r="I31" s="51" t="s">
        <v>135</v>
      </c>
      <c r="J31" s="53">
        <v>2</v>
      </c>
      <c r="K31" s="51" t="s">
        <v>128</v>
      </c>
      <c r="L31" s="51" t="s">
        <v>101</v>
      </c>
    </row>
    <row r="32" spans="1:12" hidden="1">
      <c r="A32" s="51" t="s">
        <v>137</v>
      </c>
      <c r="B32" s="52">
        <v>141</v>
      </c>
      <c r="C32" s="52">
        <v>245</v>
      </c>
      <c r="D32" s="53">
        <v>22</v>
      </c>
      <c r="E32" s="51">
        <v>33</v>
      </c>
      <c r="F32" s="51" t="s">
        <v>91</v>
      </c>
      <c r="G32" s="51" t="s">
        <v>126</v>
      </c>
      <c r="H32" s="53">
        <v>26</v>
      </c>
      <c r="I32" s="51" t="s">
        <v>127</v>
      </c>
      <c r="J32" s="53">
        <v>3</v>
      </c>
      <c r="K32" s="51" t="s">
        <v>131</v>
      </c>
      <c r="L32" s="51" t="s">
        <v>101</v>
      </c>
    </row>
    <row r="33" spans="1:12" hidden="1">
      <c r="A33" s="51" t="s">
        <v>138</v>
      </c>
      <c r="B33" s="52">
        <v>0</v>
      </c>
      <c r="C33" s="52">
        <v>0</v>
      </c>
      <c r="D33" s="53">
        <v>19</v>
      </c>
      <c r="E33" s="51">
        <v>58</v>
      </c>
      <c r="F33" s="51" t="s">
        <v>91</v>
      </c>
      <c r="G33" s="51" t="s">
        <v>126</v>
      </c>
      <c r="H33" s="53">
        <v>50</v>
      </c>
      <c r="I33" s="51" t="s">
        <v>97</v>
      </c>
      <c r="J33" s="53">
        <v>4</v>
      </c>
      <c r="K33" s="51" t="s">
        <v>131</v>
      </c>
      <c r="L33" s="51" t="s">
        <v>94</v>
      </c>
    </row>
    <row r="34" spans="1:12" hidden="1">
      <c r="A34" s="51" t="s">
        <v>138</v>
      </c>
      <c r="B34" s="52">
        <v>2484</v>
      </c>
      <c r="C34" s="52">
        <v>0</v>
      </c>
      <c r="D34" s="53">
        <v>49</v>
      </c>
      <c r="E34" s="51">
        <v>46</v>
      </c>
      <c r="F34" s="51" t="s">
        <v>91</v>
      </c>
      <c r="G34" s="51" t="s">
        <v>126</v>
      </c>
      <c r="H34" s="53">
        <v>34</v>
      </c>
      <c r="I34" s="51" t="s">
        <v>97</v>
      </c>
      <c r="J34" s="53">
        <v>1</v>
      </c>
      <c r="K34" s="51" t="s">
        <v>131</v>
      </c>
      <c r="L34" s="51" t="s">
        <v>101</v>
      </c>
    </row>
    <row r="35" spans="1:12" hidden="1">
      <c r="A35" s="51" t="s">
        <v>125</v>
      </c>
      <c r="B35" s="52">
        <v>237</v>
      </c>
      <c r="C35" s="52">
        <v>236</v>
      </c>
      <c r="D35" s="53">
        <v>37</v>
      </c>
      <c r="E35" s="51">
        <v>24</v>
      </c>
      <c r="F35" s="51" t="s">
        <v>91</v>
      </c>
      <c r="G35" s="51" t="s">
        <v>126</v>
      </c>
      <c r="H35" s="53">
        <v>23</v>
      </c>
      <c r="I35" s="51" t="s">
        <v>135</v>
      </c>
      <c r="J35" s="53">
        <v>4</v>
      </c>
      <c r="K35" s="51" t="s">
        <v>131</v>
      </c>
      <c r="L35" s="51" t="s">
        <v>101</v>
      </c>
    </row>
    <row r="36" spans="1:12" hidden="1">
      <c r="A36" s="51" t="s">
        <v>125</v>
      </c>
      <c r="B36" s="52">
        <v>0</v>
      </c>
      <c r="C36" s="52">
        <v>485</v>
      </c>
      <c r="D36" s="53">
        <v>19</v>
      </c>
      <c r="E36" s="51">
        <v>12</v>
      </c>
      <c r="F36" s="51" t="s">
        <v>91</v>
      </c>
      <c r="G36" s="51" t="s">
        <v>126</v>
      </c>
      <c r="H36" s="53">
        <v>23</v>
      </c>
      <c r="I36" s="51" t="s">
        <v>127</v>
      </c>
      <c r="J36" s="53">
        <v>2</v>
      </c>
      <c r="K36" s="51" t="s">
        <v>131</v>
      </c>
      <c r="L36" s="51" t="s">
        <v>101</v>
      </c>
    </row>
    <row r="37" spans="1:12" hidden="1">
      <c r="A37" s="51" t="s">
        <v>134</v>
      </c>
      <c r="B37" s="52">
        <v>335</v>
      </c>
      <c r="C37" s="52">
        <v>1708</v>
      </c>
      <c r="D37" s="53">
        <v>37</v>
      </c>
      <c r="E37" s="51">
        <v>7</v>
      </c>
      <c r="F37" s="51" t="s">
        <v>91</v>
      </c>
      <c r="G37" s="51" t="s">
        <v>126</v>
      </c>
      <c r="H37" s="53">
        <v>46</v>
      </c>
      <c r="I37" s="51" t="s">
        <v>97</v>
      </c>
      <c r="J37" s="53">
        <v>4</v>
      </c>
      <c r="K37" s="51" t="s">
        <v>131</v>
      </c>
      <c r="L37" s="51" t="s">
        <v>94</v>
      </c>
    </row>
    <row r="38" spans="1:12" hidden="1">
      <c r="A38" s="51" t="s">
        <v>125</v>
      </c>
      <c r="B38" s="52">
        <v>3565</v>
      </c>
      <c r="C38" s="52">
        <v>0</v>
      </c>
      <c r="D38" s="53">
        <v>31</v>
      </c>
      <c r="E38" s="51">
        <v>32</v>
      </c>
      <c r="F38" s="51" t="s">
        <v>91</v>
      </c>
      <c r="G38" s="51" t="s">
        <v>126</v>
      </c>
      <c r="H38" s="53">
        <v>35</v>
      </c>
      <c r="I38" s="51" t="s">
        <v>127</v>
      </c>
      <c r="J38" s="53">
        <v>3</v>
      </c>
      <c r="K38" s="51" t="s">
        <v>131</v>
      </c>
      <c r="L38" s="51" t="s">
        <v>101</v>
      </c>
    </row>
    <row r="39" spans="1:12" hidden="1">
      <c r="A39" s="51" t="s">
        <v>125</v>
      </c>
      <c r="B39" s="52">
        <v>0</v>
      </c>
      <c r="C39" s="52">
        <v>407</v>
      </c>
      <c r="D39" s="53">
        <v>13</v>
      </c>
      <c r="E39" s="51">
        <v>2</v>
      </c>
      <c r="F39" s="51" t="s">
        <v>96</v>
      </c>
      <c r="G39" s="51" t="s">
        <v>130</v>
      </c>
      <c r="H39" s="53">
        <v>28</v>
      </c>
      <c r="I39" s="51" t="s">
        <v>127</v>
      </c>
      <c r="J39" s="53">
        <v>2</v>
      </c>
      <c r="K39" s="51" t="s">
        <v>131</v>
      </c>
      <c r="L39" s="51" t="s">
        <v>101</v>
      </c>
    </row>
    <row r="40" spans="1:12" hidden="1">
      <c r="A40" s="51" t="s">
        <v>137</v>
      </c>
      <c r="B40" s="52">
        <v>16647</v>
      </c>
      <c r="C40" s="52">
        <v>895</v>
      </c>
      <c r="D40" s="53">
        <v>16</v>
      </c>
      <c r="E40" s="51">
        <v>34</v>
      </c>
      <c r="F40" s="51" t="s">
        <v>91</v>
      </c>
      <c r="G40" s="51" t="s">
        <v>126</v>
      </c>
      <c r="H40" s="53">
        <v>25</v>
      </c>
      <c r="I40" s="51" t="s">
        <v>135</v>
      </c>
      <c r="J40" s="53">
        <v>4</v>
      </c>
      <c r="K40" s="51" t="s">
        <v>131</v>
      </c>
      <c r="L40" s="51" t="s">
        <v>101</v>
      </c>
    </row>
    <row r="41" spans="1:12" hidden="1">
      <c r="A41" s="51" t="s">
        <v>137</v>
      </c>
      <c r="B41" s="52">
        <v>0</v>
      </c>
      <c r="C41" s="52">
        <v>150</v>
      </c>
      <c r="D41" s="53">
        <v>49</v>
      </c>
      <c r="E41" s="51">
        <v>46</v>
      </c>
      <c r="F41" s="51" t="s">
        <v>96</v>
      </c>
      <c r="G41" s="51" t="s">
        <v>130</v>
      </c>
      <c r="H41" s="53">
        <v>36</v>
      </c>
      <c r="I41" s="51" t="s">
        <v>135</v>
      </c>
      <c r="J41" s="53">
        <v>4</v>
      </c>
      <c r="K41" s="51" t="s">
        <v>131</v>
      </c>
      <c r="L41" s="51" t="s">
        <v>94</v>
      </c>
    </row>
    <row r="42" spans="1:12" hidden="1">
      <c r="A42" s="51" t="s">
        <v>125</v>
      </c>
      <c r="B42" s="52">
        <v>0</v>
      </c>
      <c r="C42" s="52">
        <v>490</v>
      </c>
      <c r="D42" s="53">
        <v>5</v>
      </c>
      <c r="E42" s="51">
        <v>41</v>
      </c>
      <c r="F42" s="51" t="s">
        <v>91</v>
      </c>
      <c r="G42" s="51" t="s">
        <v>126</v>
      </c>
      <c r="H42" s="53">
        <v>41</v>
      </c>
      <c r="I42" s="51" t="s">
        <v>127</v>
      </c>
      <c r="J42" s="53">
        <v>1</v>
      </c>
      <c r="K42" s="51" t="s">
        <v>128</v>
      </c>
      <c r="L42" s="51" t="s">
        <v>101</v>
      </c>
    </row>
    <row r="43" spans="1:12" hidden="1">
      <c r="A43" s="51" t="s">
        <v>129</v>
      </c>
      <c r="B43" s="52">
        <v>0</v>
      </c>
      <c r="C43" s="52">
        <v>162</v>
      </c>
      <c r="D43" s="53">
        <v>25</v>
      </c>
      <c r="E43" s="51">
        <v>1</v>
      </c>
      <c r="F43" s="51" t="s">
        <v>91</v>
      </c>
      <c r="G43" s="51" t="s">
        <v>130</v>
      </c>
      <c r="H43" s="53">
        <v>54</v>
      </c>
      <c r="I43" s="51" t="s">
        <v>127</v>
      </c>
      <c r="J43" s="53">
        <v>1</v>
      </c>
      <c r="K43" s="51" t="s">
        <v>131</v>
      </c>
      <c r="L43" s="51" t="s">
        <v>94</v>
      </c>
    </row>
    <row r="44" spans="1:12" hidden="1">
      <c r="A44" s="51" t="s">
        <v>125</v>
      </c>
      <c r="B44" s="52">
        <v>940</v>
      </c>
      <c r="C44" s="52">
        <v>715</v>
      </c>
      <c r="D44" s="53">
        <v>9</v>
      </c>
      <c r="E44" s="51">
        <v>40</v>
      </c>
      <c r="F44" s="51" t="s">
        <v>96</v>
      </c>
      <c r="G44" s="51" t="s">
        <v>130</v>
      </c>
      <c r="H44" s="53">
        <v>43</v>
      </c>
      <c r="I44" s="51" t="s">
        <v>127</v>
      </c>
      <c r="J44" s="53">
        <v>2</v>
      </c>
      <c r="K44" s="51" t="s">
        <v>128</v>
      </c>
      <c r="L44" s="51" t="s">
        <v>101</v>
      </c>
    </row>
    <row r="45" spans="1:12" hidden="1">
      <c r="A45" s="51" t="s">
        <v>125</v>
      </c>
      <c r="B45" s="52">
        <v>0</v>
      </c>
      <c r="C45" s="52">
        <v>323</v>
      </c>
      <c r="D45" s="53">
        <v>49</v>
      </c>
      <c r="E45" s="51">
        <v>42</v>
      </c>
      <c r="F45" s="51" t="s">
        <v>91</v>
      </c>
      <c r="G45" s="51" t="s">
        <v>136</v>
      </c>
      <c r="H45" s="53">
        <v>33</v>
      </c>
      <c r="I45" s="51" t="s">
        <v>127</v>
      </c>
      <c r="J45" s="53">
        <v>1</v>
      </c>
      <c r="K45" s="51" t="s">
        <v>131</v>
      </c>
      <c r="L45" s="51" t="s">
        <v>94</v>
      </c>
    </row>
    <row r="46" spans="1:12" hidden="1">
      <c r="A46" s="51" t="s">
        <v>132</v>
      </c>
      <c r="B46" s="52">
        <v>0</v>
      </c>
      <c r="C46" s="52">
        <v>128</v>
      </c>
      <c r="D46" s="53">
        <v>13</v>
      </c>
      <c r="E46" s="51">
        <v>74</v>
      </c>
      <c r="F46" s="51" t="s">
        <v>91</v>
      </c>
      <c r="G46" s="51" t="s">
        <v>126</v>
      </c>
      <c r="H46" s="53">
        <v>34</v>
      </c>
      <c r="I46" s="51" t="s">
        <v>127</v>
      </c>
      <c r="J46" s="53">
        <v>3</v>
      </c>
      <c r="K46" s="51" t="s">
        <v>131</v>
      </c>
      <c r="L46" s="51" t="s">
        <v>94</v>
      </c>
    </row>
    <row r="47" spans="1:12" hidden="1">
      <c r="A47" s="51" t="s">
        <v>97</v>
      </c>
      <c r="B47" s="52">
        <v>218</v>
      </c>
      <c r="C47" s="52">
        <v>0</v>
      </c>
      <c r="D47" s="53">
        <v>49</v>
      </c>
      <c r="E47" s="51">
        <v>0</v>
      </c>
      <c r="F47" s="51" t="s">
        <v>91</v>
      </c>
      <c r="G47" s="51" t="s">
        <v>126</v>
      </c>
      <c r="H47" s="53">
        <v>39</v>
      </c>
      <c r="I47" s="51" t="s">
        <v>97</v>
      </c>
      <c r="J47" s="53">
        <v>4</v>
      </c>
      <c r="K47" s="51" t="s">
        <v>140</v>
      </c>
      <c r="L47" s="51" t="s">
        <v>101</v>
      </c>
    </row>
    <row r="48" spans="1:12" hidden="1">
      <c r="A48" s="51" t="s">
        <v>138</v>
      </c>
      <c r="B48" s="52">
        <v>0</v>
      </c>
      <c r="C48" s="52">
        <v>109</v>
      </c>
      <c r="D48" s="53">
        <v>25</v>
      </c>
      <c r="E48" s="51">
        <v>26</v>
      </c>
      <c r="F48" s="51" t="s">
        <v>91</v>
      </c>
      <c r="G48" s="51" t="s">
        <v>126</v>
      </c>
      <c r="H48" s="53">
        <v>34</v>
      </c>
      <c r="I48" s="51" t="s">
        <v>127</v>
      </c>
      <c r="J48" s="53">
        <v>3</v>
      </c>
      <c r="K48" s="51" t="s">
        <v>128</v>
      </c>
      <c r="L48" s="51" t="s">
        <v>101</v>
      </c>
    </row>
    <row r="49" spans="1:12" hidden="1">
      <c r="A49" s="51" t="s">
        <v>125</v>
      </c>
      <c r="B49" s="52">
        <v>16935</v>
      </c>
      <c r="C49" s="52">
        <v>189</v>
      </c>
      <c r="D49" s="53">
        <v>37</v>
      </c>
      <c r="E49" s="51">
        <v>60</v>
      </c>
      <c r="F49" s="51" t="s">
        <v>91</v>
      </c>
      <c r="G49" s="51" t="s">
        <v>126</v>
      </c>
      <c r="H49" s="53">
        <v>30</v>
      </c>
      <c r="I49" s="51" t="s">
        <v>127</v>
      </c>
      <c r="J49" s="53">
        <v>2</v>
      </c>
      <c r="K49" s="51" t="s">
        <v>131</v>
      </c>
      <c r="L49" s="51" t="s">
        <v>101</v>
      </c>
    </row>
    <row r="50" spans="1:12" hidden="1">
      <c r="A50" s="51" t="s">
        <v>129</v>
      </c>
      <c r="B50" s="52">
        <v>664</v>
      </c>
      <c r="C50" s="52">
        <v>537</v>
      </c>
      <c r="D50" s="53">
        <v>31</v>
      </c>
      <c r="E50" s="51">
        <v>33</v>
      </c>
      <c r="F50" s="51" t="s">
        <v>91</v>
      </c>
      <c r="G50" s="51" t="s">
        <v>126</v>
      </c>
      <c r="H50" s="53">
        <v>48</v>
      </c>
      <c r="I50" s="51" t="s">
        <v>127</v>
      </c>
      <c r="J50" s="53">
        <v>2</v>
      </c>
      <c r="K50" s="51" t="s">
        <v>131</v>
      </c>
      <c r="L50" s="51" t="s">
        <v>94</v>
      </c>
    </row>
    <row r="51" spans="1:12" hidden="1">
      <c r="A51" s="51" t="s">
        <v>129</v>
      </c>
      <c r="B51" s="52">
        <v>150</v>
      </c>
      <c r="C51" s="52">
        <v>6520</v>
      </c>
      <c r="D51" s="53">
        <v>12</v>
      </c>
      <c r="E51" s="51">
        <v>1</v>
      </c>
      <c r="F51" s="51" t="s">
        <v>96</v>
      </c>
      <c r="G51" s="51" t="s">
        <v>130</v>
      </c>
      <c r="H51" s="53">
        <v>19</v>
      </c>
      <c r="I51" s="51" t="s">
        <v>127</v>
      </c>
      <c r="J51" s="53">
        <v>1</v>
      </c>
      <c r="K51" s="51" t="s">
        <v>131</v>
      </c>
      <c r="L51" s="51" t="s">
        <v>101</v>
      </c>
    </row>
    <row r="52" spans="1:12" hidden="1">
      <c r="A52" s="51" t="s">
        <v>125</v>
      </c>
      <c r="B52" s="52">
        <v>0</v>
      </c>
      <c r="C52" s="52">
        <v>138</v>
      </c>
      <c r="D52" s="53">
        <v>7</v>
      </c>
      <c r="E52" s="51">
        <v>119</v>
      </c>
      <c r="F52" s="51" t="s">
        <v>91</v>
      </c>
      <c r="G52" s="51" t="s">
        <v>136</v>
      </c>
      <c r="H52" s="53">
        <v>29</v>
      </c>
      <c r="I52" s="51" t="s">
        <v>135</v>
      </c>
      <c r="J52" s="53">
        <v>2</v>
      </c>
      <c r="K52" s="51" t="s">
        <v>131</v>
      </c>
      <c r="L52" s="51" t="s">
        <v>101</v>
      </c>
    </row>
    <row r="53" spans="1:12" hidden="1">
      <c r="A53" s="51" t="s">
        <v>129</v>
      </c>
      <c r="B53" s="52">
        <v>216</v>
      </c>
      <c r="C53" s="52">
        <v>0</v>
      </c>
      <c r="D53" s="53">
        <v>19</v>
      </c>
      <c r="E53" s="51">
        <v>3</v>
      </c>
      <c r="F53" s="51" t="s">
        <v>96</v>
      </c>
      <c r="G53" s="51" t="s">
        <v>130</v>
      </c>
      <c r="H53" s="53">
        <v>26</v>
      </c>
      <c r="I53" s="51" t="s">
        <v>135</v>
      </c>
      <c r="J53" s="53">
        <v>3</v>
      </c>
      <c r="K53" s="51" t="s">
        <v>131</v>
      </c>
      <c r="L53" s="51" t="s">
        <v>94</v>
      </c>
    </row>
    <row r="54" spans="1:12" hidden="1">
      <c r="A54" s="51" t="s">
        <v>132</v>
      </c>
      <c r="B54" s="52">
        <v>0</v>
      </c>
      <c r="C54" s="52">
        <v>660</v>
      </c>
      <c r="D54" s="53">
        <v>17</v>
      </c>
      <c r="E54" s="51">
        <v>75</v>
      </c>
      <c r="F54" s="51" t="s">
        <v>91</v>
      </c>
      <c r="G54" s="51" t="s">
        <v>126</v>
      </c>
      <c r="H54" s="53">
        <v>42</v>
      </c>
      <c r="I54" s="51" t="s">
        <v>135</v>
      </c>
      <c r="J54" s="53">
        <v>4</v>
      </c>
      <c r="K54" s="51" t="s">
        <v>131</v>
      </c>
      <c r="L54" s="51" t="s">
        <v>94</v>
      </c>
    </row>
    <row r="55" spans="1:12" hidden="1">
      <c r="A55" s="51" t="s">
        <v>137</v>
      </c>
      <c r="B55" s="52">
        <v>0</v>
      </c>
      <c r="C55" s="52">
        <v>724</v>
      </c>
      <c r="D55" s="53">
        <v>25</v>
      </c>
      <c r="E55" s="51">
        <v>8</v>
      </c>
      <c r="F55" s="51" t="s">
        <v>91</v>
      </c>
      <c r="G55" s="51" t="s">
        <v>126</v>
      </c>
      <c r="H55" s="53">
        <v>30</v>
      </c>
      <c r="I55" s="51" t="s">
        <v>135</v>
      </c>
      <c r="J55" s="53">
        <v>2</v>
      </c>
      <c r="K55" s="51" t="s">
        <v>131</v>
      </c>
      <c r="L55" s="51" t="s">
        <v>94</v>
      </c>
    </row>
    <row r="56" spans="1:12" hidden="1">
      <c r="A56" s="51" t="s">
        <v>125</v>
      </c>
      <c r="B56" s="52">
        <v>0</v>
      </c>
      <c r="C56" s="52">
        <v>897</v>
      </c>
      <c r="D56" s="53">
        <v>19</v>
      </c>
      <c r="E56" s="51">
        <v>5</v>
      </c>
      <c r="F56" s="51" t="s">
        <v>91</v>
      </c>
      <c r="G56" s="51" t="s">
        <v>136</v>
      </c>
      <c r="H56" s="53">
        <v>38</v>
      </c>
      <c r="I56" s="51" t="s">
        <v>127</v>
      </c>
      <c r="J56" s="53">
        <v>4</v>
      </c>
      <c r="K56" s="51" t="s">
        <v>131</v>
      </c>
      <c r="L56" s="51" t="s">
        <v>101</v>
      </c>
    </row>
    <row r="57" spans="1:12" hidden="1">
      <c r="A57" s="51" t="s">
        <v>125</v>
      </c>
      <c r="B57" s="52">
        <v>265</v>
      </c>
      <c r="C57" s="52">
        <v>947</v>
      </c>
      <c r="D57" s="53">
        <v>25</v>
      </c>
      <c r="E57" s="51">
        <v>5</v>
      </c>
      <c r="F57" s="51" t="s">
        <v>91</v>
      </c>
      <c r="G57" s="51" t="s">
        <v>136</v>
      </c>
      <c r="H57" s="53">
        <v>21</v>
      </c>
      <c r="I57" s="51" t="s">
        <v>127</v>
      </c>
      <c r="J57" s="53">
        <v>1</v>
      </c>
      <c r="K57" s="51" t="s">
        <v>131</v>
      </c>
      <c r="L57" s="51" t="s">
        <v>94</v>
      </c>
    </row>
    <row r="58" spans="1:12" hidden="1">
      <c r="A58" s="51" t="s">
        <v>129</v>
      </c>
      <c r="B58" s="52">
        <v>4256</v>
      </c>
      <c r="C58" s="52">
        <v>0</v>
      </c>
      <c r="D58" s="53">
        <v>16</v>
      </c>
      <c r="E58" s="51">
        <v>36</v>
      </c>
      <c r="F58" s="51" t="s">
        <v>96</v>
      </c>
      <c r="G58" s="51" t="s">
        <v>130</v>
      </c>
      <c r="H58" s="53">
        <v>32</v>
      </c>
      <c r="I58" s="51" t="s">
        <v>135</v>
      </c>
      <c r="J58" s="53">
        <v>4</v>
      </c>
      <c r="K58" s="51" t="s">
        <v>128</v>
      </c>
      <c r="L58" s="51" t="s">
        <v>101</v>
      </c>
    </row>
    <row r="59" spans="1:12" hidden="1">
      <c r="A59" s="51" t="s">
        <v>137</v>
      </c>
      <c r="B59" s="52">
        <v>870</v>
      </c>
      <c r="C59" s="52">
        <v>917</v>
      </c>
      <c r="D59" s="53">
        <v>28</v>
      </c>
      <c r="E59" s="51">
        <v>6</v>
      </c>
      <c r="F59" s="51" t="s">
        <v>91</v>
      </c>
      <c r="G59" s="51" t="s">
        <v>126</v>
      </c>
      <c r="H59" s="53">
        <v>35</v>
      </c>
      <c r="I59" s="51" t="s">
        <v>127</v>
      </c>
      <c r="J59" s="53">
        <v>2</v>
      </c>
      <c r="K59" s="51" t="s">
        <v>131</v>
      </c>
      <c r="L59" s="51" t="s">
        <v>94</v>
      </c>
    </row>
    <row r="60" spans="1:12" hidden="1">
      <c r="A60" s="51" t="s">
        <v>132</v>
      </c>
      <c r="B60" s="52">
        <v>162</v>
      </c>
      <c r="C60" s="52">
        <v>595</v>
      </c>
      <c r="D60" s="53">
        <v>22</v>
      </c>
      <c r="E60" s="51">
        <v>10</v>
      </c>
      <c r="F60" s="51" t="s">
        <v>91</v>
      </c>
      <c r="G60" s="51" t="s">
        <v>130</v>
      </c>
      <c r="H60" s="53">
        <v>46</v>
      </c>
      <c r="I60" s="51" t="s">
        <v>127</v>
      </c>
      <c r="J60" s="53">
        <v>4</v>
      </c>
      <c r="K60" s="51" t="s">
        <v>131</v>
      </c>
      <c r="L60" s="51" t="s">
        <v>101</v>
      </c>
    </row>
    <row r="61" spans="1:12" hidden="1">
      <c r="A61" s="51" t="s">
        <v>138</v>
      </c>
      <c r="B61" s="52">
        <v>0</v>
      </c>
      <c r="C61" s="52">
        <v>789</v>
      </c>
      <c r="D61" s="53">
        <v>25</v>
      </c>
      <c r="E61" s="51">
        <v>28</v>
      </c>
      <c r="F61" s="51" t="s">
        <v>91</v>
      </c>
      <c r="G61" s="51" t="s">
        <v>126</v>
      </c>
      <c r="H61" s="53">
        <v>37</v>
      </c>
      <c r="I61" s="51" t="s">
        <v>127</v>
      </c>
      <c r="J61" s="53">
        <v>3</v>
      </c>
      <c r="K61" s="51" t="s">
        <v>133</v>
      </c>
      <c r="L61" s="51" t="s">
        <v>101</v>
      </c>
    </row>
    <row r="62" spans="1:12" hidden="1">
      <c r="A62" s="51" t="s">
        <v>134</v>
      </c>
      <c r="B62" s="52">
        <v>0</v>
      </c>
      <c r="C62" s="52">
        <v>0</v>
      </c>
      <c r="D62" s="53">
        <v>37</v>
      </c>
      <c r="E62" s="51">
        <v>114</v>
      </c>
      <c r="F62" s="51" t="s">
        <v>91</v>
      </c>
      <c r="G62" s="51" t="s">
        <v>126</v>
      </c>
      <c r="H62" s="53">
        <v>39</v>
      </c>
      <c r="I62" s="51" t="s">
        <v>127</v>
      </c>
      <c r="J62" s="53">
        <v>4</v>
      </c>
      <c r="K62" s="51" t="s">
        <v>133</v>
      </c>
      <c r="L62" s="51" t="s">
        <v>94</v>
      </c>
    </row>
    <row r="63" spans="1:12" hidden="1">
      <c r="A63" s="51" t="s">
        <v>129</v>
      </c>
      <c r="B63" s="52">
        <v>0</v>
      </c>
      <c r="C63" s="52">
        <v>746</v>
      </c>
      <c r="D63" s="53">
        <v>13</v>
      </c>
      <c r="E63" s="51">
        <v>16</v>
      </c>
      <c r="F63" s="51" t="s">
        <v>96</v>
      </c>
      <c r="G63" s="51" t="s">
        <v>130</v>
      </c>
      <c r="H63" s="53">
        <v>29</v>
      </c>
      <c r="I63" s="51" t="s">
        <v>127</v>
      </c>
      <c r="J63" s="53">
        <v>3</v>
      </c>
      <c r="K63" s="51" t="s">
        <v>131</v>
      </c>
      <c r="L63" s="51" t="s">
        <v>101</v>
      </c>
    </row>
    <row r="64" spans="1:12" hidden="1">
      <c r="A64" s="51" t="s">
        <v>132</v>
      </c>
      <c r="B64" s="52">
        <v>461</v>
      </c>
      <c r="C64" s="52">
        <v>140</v>
      </c>
      <c r="D64" s="53">
        <v>19</v>
      </c>
      <c r="E64" s="51">
        <v>32</v>
      </c>
      <c r="F64" s="51" t="s">
        <v>91</v>
      </c>
      <c r="G64" s="51" t="s">
        <v>126</v>
      </c>
      <c r="H64" s="53">
        <v>27</v>
      </c>
      <c r="I64" s="51" t="s">
        <v>135</v>
      </c>
      <c r="J64" s="53">
        <v>3</v>
      </c>
      <c r="K64" s="51" t="s">
        <v>128</v>
      </c>
      <c r="L64" s="51" t="s">
        <v>101</v>
      </c>
    </row>
    <row r="65" spans="1:12" hidden="1">
      <c r="A65" s="51" t="s">
        <v>132</v>
      </c>
      <c r="B65" s="52">
        <v>0</v>
      </c>
      <c r="C65" s="52">
        <v>659</v>
      </c>
      <c r="D65" s="53">
        <v>19</v>
      </c>
      <c r="E65" s="51">
        <v>5</v>
      </c>
      <c r="F65" s="51" t="s">
        <v>96</v>
      </c>
      <c r="G65" s="51" t="s">
        <v>130</v>
      </c>
      <c r="H65" s="53">
        <v>22</v>
      </c>
      <c r="I65" s="51" t="s">
        <v>135</v>
      </c>
      <c r="J65" s="53">
        <v>3</v>
      </c>
      <c r="K65" s="51" t="s">
        <v>131</v>
      </c>
      <c r="L65" s="51" t="s">
        <v>94</v>
      </c>
    </row>
    <row r="66" spans="1:12" hidden="1">
      <c r="A66" s="51" t="s">
        <v>129</v>
      </c>
      <c r="B66" s="52">
        <v>0</v>
      </c>
      <c r="C66" s="52">
        <v>717</v>
      </c>
      <c r="D66" s="53">
        <v>37</v>
      </c>
      <c r="E66" s="51">
        <v>60</v>
      </c>
      <c r="F66" s="51" t="s">
        <v>91</v>
      </c>
      <c r="G66" s="51" t="s">
        <v>126</v>
      </c>
      <c r="H66" s="53">
        <v>40</v>
      </c>
      <c r="I66" s="51" t="s">
        <v>127</v>
      </c>
      <c r="J66" s="53">
        <v>2</v>
      </c>
      <c r="K66" s="51" t="s">
        <v>131</v>
      </c>
      <c r="L66" s="51" t="s">
        <v>94</v>
      </c>
    </row>
    <row r="67" spans="1:12" hidden="1">
      <c r="A67" s="51" t="s">
        <v>132</v>
      </c>
      <c r="B67" s="52">
        <v>0</v>
      </c>
      <c r="C67" s="52">
        <v>667</v>
      </c>
      <c r="D67" s="53">
        <v>29</v>
      </c>
      <c r="E67" s="51">
        <v>10</v>
      </c>
      <c r="F67" s="51" t="s">
        <v>91</v>
      </c>
      <c r="G67" s="51" t="s">
        <v>126</v>
      </c>
      <c r="H67" s="53">
        <v>44</v>
      </c>
      <c r="I67" s="51" t="s">
        <v>127</v>
      </c>
      <c r="J67" s="53">
        <v>2</v>
      </c>
      <c r="K67" s="51" t="s">
        <v>128</v>
      </c>
      <c r="L67" s="51" t="s">
        <v>94</v>
      </c>
    </row>
    <row r="68" spans="1:12" hidden="1">
      <c r="A68" s="51" t="s">
        <v>132</v>
      </c>
      <c r="B68" s="52">
        <v>580</v>
      </c>
      <c r="C68" s="52">
        <v>0</v>
      </c>
      <c r="D68" s="53">
        <v>11</v>
      </c>
      <c r="E68" s="51">
        <v>8</v>
      </c>
      <c r="F68" s="51" t="s">
        <v>91</v>
      </c>
      <c r="G68" s="51" t="s">
        <v>126</v>
      </c>
      <c r="H68" s="53">
        <v>26</v>
      </c>
      <c r="I68" s="51" t="s">
        <v>127</v>
      </c>
      <c r="J68" s="53">
        <v>4</v>
      </c>
      <c r="K68" s="51" t="s">
        <v>128</v>
      </c>
      <c r="L68" s="51" t="s">
        <v>94</v>
      </c>
    </row>
    <row r="69" spans="1:12" hidden="1">
      <c r="A69" s="51" t="s">
        <v>125</v>
      </c>
      <c r="B69" s="52">
        <v>0</v>
      </c>
      <c r="C69" s="52">
        <v>763</v>
      </c>
      <c r="D69" s="53">
        <v>13</v>
      </c>
      <c r="E69" s="51">
        <v>46</v>
      </c>
      <c r="F69" s="51" t="s">
        <v>96</v>
      </c>
      <c r="G69" s="51" t="s">
        <v>130</v>
      </c>
      <c r="H69" s="53">
        <v>57</v>
      </c>
      <c r="I69" s="51" t="s">
        <v>127</v>
      </c>
      <c r="J69" s="53">
        <v>3</v>
      </c>
      <c r="K69" s="51" t="s">
        <v>128</v>
      </c>
      <c r="L69" s="51" t="s">
        <v>101</v>
      </c>
    </row>
    <row r="70" spans="1:12" hidden="1">
      <c r="A70" s="51" t="s">
        <v>132</v>
      </c>
      <c r="B70" s="52">
        <v>0</v>
      </c>
      <c r="C70" s="52">
        <v>1366</v>
      </c>
      <c r="D70" s="53">
        <v>19</v>
      </c>
      <c r="E70" s="51">
        <v>17</v>
      </c>
      <c r="F70" s="51" t="s">
        <v>91</v>
      </c>
      <c r="G70" s="51" t="s">
        <v>126</v>
      </c>
      <c r="H70" s="53">
        <v>34</v>
      </c>
      <c r="I70" s="51" t="s">
        <v>127</v>
      </c>
      <c r="J70" s="53">
        <v>4</v>
      </c>
      <c r="K70" s="51" t="s">
        <v>128</v>
      </c>
      <c r="L70" s="51" t="s">
        <v>101</v>
      </c>
    </row>
    <row r="71" spans="1:12" hidden="1">
      <c r="A71" s="51" t="s">
        <v>125</v>
      </c>
      <c r="B71" s="52">
        <v>0</v>
      </c>
      <c r="C71" s="52">
        <v>552</v>
      </c>
      <c r="D71" s="53">
        <v>25</v>
      </c>
      <c r="E71" s="51">
        <v>4</v>
      </c>
      <c r="F71" s="51" t="s">
        <v>91</v>
      </c>
      <c r="G71" s="51" t="s">
        <v>136</v>
      </c>
      <c r="H71" s="53">
        <v>47</v>
      </c>
      <c r="I71" s="51" t="s">
        <v>127</v>
      </c>
      <c r="J71" s="53">
        <v>4</v>
      </c>
      <c r="K71" s="51" t="s">
        <v>131</v>
      </c>
      <c r="L71" s="51" t="s">
        <v>94</v>
      </c>
    </row>
    <row r="72" spans="1:12" hidden="1">
      <c r="A72" s="51" t="s">
        <v>125</v>
      </c>
      <c r="B72" s="52">
        <v>0</v>
      </c>
      <c r="C72" s="52">
        <v>14643</v>
      </c>
      <c r="D72" s="53">
        <v>16</v>
      </c>
      <c r="E72" s="51">
        <v>115</v>
      </c>
      <c r="F72" s="51" t="s">
        <v>91</v>
      </c>
      <c r="G72" s="51" t="s">
        <v>126</v>
      </c>
      <c r="H72" s="53">
        <v>46</v>
      </c>
      <c r="I72" s="51" t="s">
        <v>127</v>
      </c>
      <c r="J72" s="53">
        <v>3</v>
      </c>
      <c r="K72" s="51" t="s">
        <v>131</v>
      </c>
      <c r="L72" s="51" t="s">
        <v>101</v>
      </c>
    </row>
    <row r="73" spans="1:12" hidden="1">
      <c r="A73" s="51" t="s">
        <v>137</v>
      </c>
      <c r="B73" s="52">
        <v>758</v>
      </c>
      <c r="C73" s="52">
        <v>2665</v>
      </c>
      <c r="D73" s="53">
        <v>13</v>
      </c>
      <c r="E73" s="51">
        <v>31</v>
      </c>
      <c r="F73" s="51" t="s">
        <v>91</v>
      </c>
      <c r="G73" s="51" t="s">
        <v>126</v>
      </c>
      <c r="H73" s="53">
        <v>38</v>
      </c>
      <c r="I73" s="51" t="s">
        <v>127</v>
      </c>
      <c r="J73" s="53">
        <v>4</v>
      </c>
      <c r="K73" s="51" t="s">
        <v>128</v>
      </c>
      <c r="L73" s="51" t="s">
        <v>101</v>
      </c>
    </row>
    <row r="74" spans="1:12" hidden="1">
      <c r="A74" s="51" t="s">
        <v>138</v>
      </c>
      <c r="B74" s="52">
        <v>399</v>
      </c>
      <c r="C74" s="52">
        <v>0</v>
      </c>
      <c r="D74" s="53">
        <v>31</v>
      </c>
      <c r="E74" s="51">
        <v>0</v>
      </c>
      <c r="F74" s="51" t="s">
        <v>96</v>
      </c>
      <c r="G74" s="51" t="s">
        <v>130</v>
      </c>
      <c r="H74" s="53">
        <v>52</v>
      </c>
      <c r="I74" s="51" t="s">
        <v>127</v>
      </c>
      <c r="J74" s="53">
        <v>1</v>
      </c>
      <c r="K74" s="51" t="s">
        <v>133</v>
      </c>
      <c r="L74" s="51" t="s">
        <v>94</v>
      </c>
    </row>
    <row r="75" spans="1:12" hidden="1">
      <c r="A75" s="51" t="s">
        <v>129</v>
      </c>
      <c r="B75" s="52">
        <v>513</v>
      </c>
      <c r="C75" s="52">
        <v>442</v>
      </c>
      <c r="D75" s="53">
        <v>7</v>
      </c>
      <c r="E75" s="51">
        <v>0</v>
      </c>
      <c r="F75" s="51" t="s">
        <v>91</v>
      </c>
      <c r="G75" s="51" t="s">
        <v>126</v>
      </c>
      <c r="H75" s="53">
        <v>34</v>
      </c>
      <c r="I75" s="51" t="s">
        <v>127</v>
      </c>
      <c r="J75" s="53">
        <v>1</v>
      </c>
      <c r="K75" s="51" t="s">
        <v>133</v>
      </c>
      <c r="L75" s="51" t="s">
        <v>101</v>
      </c>
    </row>
    <row r="76" spans="1:12" hidden="1">
      <c r="A76" s="51" t="s">
        <v>129</v>
      </c>
      <c r="B76" s="52">
        <v>0</v>
      </c>
      <c r="C76" s="52">
        <v>8357</v>
      </c>
      <c r="D76" s="53">
        <v>25</v>
      </c>
      <c r="E76" s="51">
        <v>5</v>
      </c>
      <c r="F76" s="51" t="s">
        <v>91</v>
      </c>
      <c r="G76" s="51" t="s">
        <v>126</v>
      </c>
      <c r="H76" s="53">
        <v>29</v>
      </c>
      <c r="I76" s="51" t="s">
        <v>97</v>
      </c>
      <c r="J76" s="53">
        <v>4</v>
      </c>
      <c r="K76" s="51" t="s">
        <v>131</v>
      </c>
      <c r="L76" s="51" t="s">
        <v>94</v>
      </c>
    </row>
    <row r="77" spans="1:12" hidden="1">
      <c r="A77" s="51" t="s">
        <v>132</v>
      </c>
      <c r="B77" s="52">
        <v>0</v>
      </c>
      <c r="C77" s="52">
        <v>0</v>
      </c>
      <c r="D77" s="53">
        <v>22</v>
      </c>
      <c r="E77" s="51">
        <v>9</v>
      </c>
      <c r="F77" s="51" t="s">
        <v>91</v>
      </c>
      <c r="G77" s="51" t="s">
        <v>126</v>
      </c>
      <c r="H77" s="53">
        <v>39</v>
      </c>
      <c r="I77" s="51" t="s">
        <v>127</v>
      </c>
      <c r="J77" s="53">
        <v>2</v>
      </c>
      <c r="K77" s="51" t="s">
        <v>128</v>
      </c>
      <c r="L77" s="51" t="s">
        <v>94</v>
      </c>
    </row>
    <row r="78" spans="1:12" hidden="1">
      <c r="A78" s="51" t="s">
        <v>125</v>
      </c>
      <c r="B78" s="52">
        <v>565</v>
      </c>
      <c r="C78" s="52">
        <v>863</v>
      </c>
      <c r="D78" s="53">
        <v>10</v>
      </c>
      <c r="E78" s="51">
        <v>81</v>
      </c>
      <c r="F78" s="51" t="s">
        <v>91</v>
      </c>
      <c r="G78" s="51" t="s">
        <v>126</v>
      </c>
      <c r="H78" s="53">
        <v>36</v>
      </c>
      <c r="I78" s="51" t="s">
        <v>127</v>
      </c>
      <c r="J78" s="53">
        <v>4</v>
      </c>
      <c r="K78" s="51" t="s">
        <v>128</v>
      </c>
      <c r="L78" s="51" t="s">
        <v>101</v>
      </c>
    </row>
    <row r="79" spans="1:12" hidden="1">
      <c r="A79" s="51" t="s">
        <v>137</v>
      </c>
      <c r="B79" s="52">
        <v>0</v>
      </c>
      <c r="C79" s="52">
        <v>322</v>
      </c>
      <c r="D79" s="53">
        <v>28</v>
      </c>
      <c r="E79" s="51">
        <v>28</v>
      </c>
      <c r="F79" s="51" t="s">
        <v>91</v>
      </c>
      <c r="G79" s="51" t="s">
        <v>126</v>
      </c>
      <c r="H79" s="53">
        <v>25</v>
      </c>
      <c r="I79" s="51" t="s">
        <v>127</v>
      </c>
      <c r="J79" s="53">
        <v>4</v>
      </c>
      <c r="K79" s="51" t="s">
        <v>131</v>
      </c>
      <c r="L79" s="51" t="s">
        <v>101</v>
      </c>
    </row>
    <row r="80" spans="1:12" hidden="1">
      <c r="A80" s="51" t="s">
        <v>129</v>
      </c>
      <c r="B80" s="52">
        <v>0</v>
      </c>
      <c r="C80" s="52">
        <v>800</v>
      </c>
      <c r="D80" s="53">
        <v>13</v>
      </c>
      <c r="E80" s="51">
        <v>69</v>
      </c>
      <c r="F80" s="51" t="s">
        <v>91</v>
      </c>
      <c r="G80" s="51" t="s">
        <v>126</v>
      </c>
      <c r="H80" s="53">
        <v>59</v>
      </c>
      <c r="I80" s="51" t="s">
        <v>127</v>
      </c>
      <c r="J80" s="53">
        <v>3</v>
      </c>
      <c r="K80" s="51" t="s">
        <v>131</v>
      </c>
      <c r="L80" s="51" t="s">
        <v>94</v>
      </c>
    </row>
    <row r="81" spans="1:12" hidden="1">
      <c r="A81" s="51" t="s">
        <v>125</v>
      </c>
      <c r="B81" s="52">
        <v>0</v>
      </c>
      <c r="C81" s="52">
        <v>656</v>
      </c>
      <c r="D81" s="53">
        <v>37</v>
      </c>
      <c r="E81" s="51">
        <v>85</v>
      </c>
      <c r="F81" s="51" t="s">
        <v>91</v>
      </c>
      <c r="G81" s="51" t="s">
        <v>126</v>
      </c>
      <c r="H81" s="53">
        <v>27</v>
      </c>
      <c r="I81" s="51" t="s">
        <v>127</v>
      </c>
      <c r="J81" s="53">
        <v>2</v>
      </c>
      <c r="K81" s="51" t="s">
        <v>131</v>
      </c>
      <c r="L81" s="51" t="s">
        <v>101</v>
      </c>
    </row>
    <row r="82" spans="1:12" hidden="1">
      <c r="A82" s="51" t="s">
        <v>132</v>
      </c>
      <c r="B82" s="52">
        <v>166</v>
      </c>
      <c r="C82" s="52">
        <v>922</v>
      </c>
      <c r="D82" s="53">
        <v>13</v>
      </c>
      <c r="E82" s="51">
        <v>2</v>
      </c>
      <c r="F82" s="51" t="s">
        <v>96</v>
      </c>
      <c r="G82" s="51" t="s">
        <v>130</v>
      </c>
      <c r="H82" s="53">
        <v>24</v>
      </c>
      <c r="I82" s="51" t="s">
        <v>135</v>
      </c>
      <c r="J82" s="53">
        <v>1</v>
      </c>
      <c r="K82" s="51" t="s">
        <v>131</v>
      </c>
      <c r="L82" s="51" t="s">
        <v>94</v>
      </c>
    </row>
    <row r="83" spans="1:12" hidden="1">
      <c r="A83" s="51" t="s">
        <v>137</v>
      </c>
      <c r="B83" s="52">
        <v>9783</v>
      </c>
      <c r="C83" s="52">
        <v>885</v>
      </c>
      <c r="D83" s="53">
        <v>13</v>
      </c>
      <c r="E83" s="51">
        <v>3</v>
      </c>
      <c r="F83" s="51" t="s">
        <v>96</v>
      </c>
      <c r="G83" s="51" t="s">
        <v>130</v>
      </c>
      <c r="H83" s="53">
        <v>25</v>
      </c>
      <c r="I83" s="51" t="s">
        <v>127</v>
      </c>
      <c r="J83" s="53">
        <v>1</v>
      </c>
      <c r="K83" s="51" t="s">
        <v>140</v>
      </c>
      <c r="L83" s="51" t="s">
        <v>94</v>
      </c>
    </row>
    <row r="84" spans="1:12" hidden="1">
      <c r="A84" s="51" t="s">
        <v>137</v>
      </c>
      <c r="B84" s="52">
        <v>674</v>
      </c>
      <c r="C84" s="52">
        <v>2886</v>
      </c>
      <c r="D84" s="53">
        <v>49</v>
      </c>
      <c r="E84" s="51">
        <v>32</v>
      </c>
      <c r="F84" s="51" t="s">
        <v>91</v>
      </c>
      <c r="G84" s="51" t="s">
        <v>126</v>
      </c>
      <c r="H84" s="53">
        <v>29</v>
      </c>
      <c r="I84" s="51" t="s">
        <v>127</v>
      </c>
      <c r="J84" s="53">
        <v>2</v>
      </c>
      <c r="K84" s="51" t="s">
        <v>131</v>
      </c>
      <c r="L84" s="51" t="s">
        <v>101</v>
      </c>
    </row>
    <row r="85" spans="1:12" hidden="1">
      <c r="A85" s="51" t="s">
        <v>139</v>
      </c>
      <c r="B85" s="52">
        <v>0</v>
      </c>
      <c r="C85" s="52">
        <v>626</v>
      </c>
      <c r="D85" s="53">
        <v>43</v>
      </c>
      <c r="E85" s="51">
        <v>0</v>
      </c>
      <c r="F85" s="51" t="s">
        <v>91</v>
      </c>
      <c r="G85" s="51" t="s">
        <v>126</v>
      </c>
      <c r="H85" s="53">
        <v>64</v>
      </c>
      <c r="I85" s="51" t="s">
        <v>127</v>
      </c>
      <c r="J85" s="53">
        <v>4</v>
      </c>
      <c r="K85" s="51" t="s">
        <v>140</v>
      </c>
      <c r="L85" s="51" t="s">
        <v>101</v>
      </c>
    </row>
    <row r="86" spans="1:12" hidden="1">
      <c r="A86" s="51" t="s">
        <v>137</v>
      </c>
      <c r="B86" s="52">
        <v>15328</v>
      </c>
      <c r="C86" s="52">
        <v>0</v>
      </c>
      <c r="D86" s="53">
        <v>25</v>
      </c>
      <c r="E86" s="51">
        <v>9</v>
      </c>
      <c r="F86" s="51" t="s">
        <v>91</v>
      </c>
      <c r="G86" s="51" t="s">
        <v>126</v>
      </c>
      <c r="H86" s="53">
        <v>31</v>
      </c>
      <c r="I86" s="51" t="s">
        <v>127</v>
      </c>
      <c r="J86" s="53">
        <v>4</v>
      </c>
      <c r="K86" s="51" t="s">
        <v>131</v>
      </c>
      <c r="L86" s="51" t="s">
        <v>101</v>
      </c>
    </row>
    <row r="87" spans="1:12" hidden="1">
      <c r="A87" s="51" t="s">
        <v>132</v>
      </c>
      <c r="B87" s="52">
        <v>0</v>
      </c>
      <c r="C87" s="52">
        <v>904</v>
      </c>
      <c r="D87" s="53">
        <v>12</v>
      </c>
      <c r="E87" s="51">
        <v>6</v>
      </c>
      <c r="F87" s="51" t="s">
        <v>91</v>
      </c>
      <c r="G87" s="51" t="s">
        <v>126</v>
      </c>
      <c r="H87" s="53">
        <v>38</v>
      </c>
      <c r="I87" s="51" t="s">
        <v>127</v>
      </c>
      <c r="J87" s="53">
        <v>4</v>
      </c>
      <c r="K87" s="51" t="s">
        <v>128</v>
      </c>
      <c r="L87" s="51" t="s">
        <v>101</v>
      </c>
    </row>
    <row r="88" spans="1:12" hidden="1">
      <c r="A88" s="51" t="s">
        <v>134</v>
      </c>
      <c r="B88" s="52">
        <v>713</v>
      </c>
      <c r="C88" s="52">
        <v>784</v>
      </c>
      <c r="D88" s="53">
        <v>61</v>
      </c>
      <c r="E88" s="51">
        <v>17</v>
      </c>
      <c r="F88" s="51" t="s">
        <v>91</v>
      </c>
      <c r="G88" s="51" t="s">
        <v>126</v>
      </c>
      <c r="H88" s="53">
        <v>41</v>
      </c>
      <c r="I88" s="51" t="s">
        <v>97</v>
      </c>
      <c r="J88" s="53">
        <v>4</v>
      </c>
      <c r="K88" s="51" t="s">
        <v>131</v>
      </c>
      <c r="L88" s="51" t="s">
        <v>94</v>
      </c>
    </row>
    <row r="89" spans="1:12" hidden="1">
      <c r="A89" s="51" t="s">
        <v>132</v>
      </c>
      <c r="B89" s="52">
        <v>0</v>
      </c>
      <c r="C89" s="52">
        <v>806</v>
      </c>
      <c r="D89" s="53">
        <v>19</v>
      </c>
      <c r="E89" s="51">
        <v>3</v>
      </c>
      <c r="F89" s="51" t="s">
        <v>96</v>
      </c>
      <c r="G89" s="51" t="s">
        <v>130</v>
      </c>
      <c r="H89" s="53">
        <v>22</v>
      </c>
      <c r="I89" s="51" t="s">
        <v>127</v>
      </c>
      <c r="J89" s="53">
        <v>2</v>
      </c>
      <c r="K89" s="51" t="s">
        <v>128</v>
      </c>
      <c r="L89" s="51" t="s">
        <v>94</v>
      </c>
    </row>
    <row r="90" spans="1:12" hidden="1">
      <c r="A90" s="51" t="s">
        <v>134</v>
      </c>
      <c r="B90" s="52">
        <v>0</v>
      </c>
      <c r="C90" s="52">
        <v>3281</v>
      </c>
      <c r="D90" s="53">
        <v>19</v>
      </c>
      <c r="E90" s="51">
        <v>20</v>
      </c>
      <c r="F90" s="51" t="s">
        <v>96</v>
      </c>
      <c r="G90" s="51" t="s">
        <v>130</v>
      </c>
      <c r="H90" s="53">
        <v>29</v>
      </c>
      <c r="I90" s="51" t="s">
        <v>127</v>
      </c>
      <c r="J90" s="53">
        <v>2</v>
      </c>
      <c r="K90" s="51" t="s">
        <v>131</v>
      </c>
      <c r="L90" s="51" t="s">
        <v>94</v>
      </c>
    </row>
    <row r="91" spans="1:12" hidden="1">
      <c r="A91" s="51" t="s">
        <v>132</v>
      </c>
      <c r="B91" s="52">
        <v>0</v>
      </c>
      <c r="C91" s="52">
        <v>759</v>
      </c>
      <c r="D91" s="53">
        <v>16</v>
      </c>
      <c r="E91" s="51">
        <v>59</v>
      </c>
      <c r="F91" s="51" t="s">
        <v>91</v>
      </c>
      <c r="G91" s="51" t="s">
        <v>126</v>
      </c>
      <c r="H91" s="53">
        <v>32</v>
      </c>
      <c r="I91" s="51" t="s">
        <v>135</v>
      </c>
      <c r="J91" s="53">
        <v>3</v>
      </c>
      <c r="K91" s="51" t="s">
        <v>131</v>
      </c>
      <c r="L91" s="51" t="s">
        <v>94</v>
      </c>
    </row>
    <row r="92" spans="1:12" hidden="1">
      <c r="A92" s="51" t="s">
        <v>125</v>
      </c>
      <c r="B92" s="52">
        <v>0</v>
      </c>
      <c r="C92" s="52">
        <v>680</v>
      </c>
      <c r="D92" s="53">
        <v>25</v>
      </c>
      <c r="E92" s="51">
        <v>3</v>
      </c>
      <c r="F92" s="51" t="s">
        <v>96</v>
      </c>
      <c r="G92" s="51" t="s">
        <v>130</v>
      </c>
      <c r="H92" s="53">
        <v>34</v>
      </c>
      <c r="I92" s="51" t="s">
        <v>127</v>
      </c>
      <c r="J92" s="53">
        <v>4</v>
      </c>
      <c r="K92" s="51" t="s">
        <v>131</v>
      </c>
      <c r="L92" s="51" t="s">
        <v>94</v>
      </c>
    </row>
    <row r="93" spans="1:12" hidden="1">
      <c r="A93" s="51" t="s">
        <v>138</v>
      </c>
      <c r="B93" s="52">
        <v>0</v>
      </c>
      <c r="C93" s="52">
        <v>104</v>
      </c>
      <c r="D93" s="53">
        <v>37</v>
      </c>
      <c r="E93" s="51">
        <v>25</v>
      </c>
      <c r="F93" s="51" t="s">
        <v>91</v>
      </c>
      <c r="G93" s="51" t="s">
        <v>126</v>
      </c>
      <c r="H93" s="53">
        <v>23</v>
      </c>
      <c r="I93" s="51" t="s">
        <v>127</v>
      </c>
      <c r="J93" s="53">
        <v>4</v>
      </c>
      <c r="K93" s="51" t="s">
        <v>131</v>
      </c>
      <c r="L93" s="51" t="s">
        <v>94</v>
      </c>
    </row>
    <row r="94" spans="1:12" hidden="1">
      <c r="A94" s="51" t="s">
        <v>125</v>
      </c>
      <c r="B94" s="52">
        <v>303</v>
      </c>
      <c r="C94" s="52">
        <v>899</v>
      </c>
      <c r="D94" s="53">
        <v>13</v>
      </c>
      <c r="E94" s="51">
        <v>3</v>
      </c>
      <c r="F94" s="51" t="s">
        <v>91</v>
      </c>
      <c r="G94" s="51" t="s">
        <v>126</v>
      </c>
      <c r="H94" s="53">
        <v>21</v>
      </c>
      <c r="I94" s="51" t="s">
        <v>127</v>
      </c>
      <c r="J94" s="53">
        <v>1</v>
      </c>
      <c r="K94" s="51" t="s">
        <v>131</v>
      </c>
      <c r="L94" s="51" t="s">
        <v>94</v>
      </c>
    </row>
    <row r="95" spans="1:12" hidden="1">
      <c r="A95" s="51" t="s">
        <v>125</v>
      </c>
      <c r="B95" s="52">
        <v>900</v>
      </c>
      <c r="C95" s="52">
        <v>1732</v>
      </c>
      <c r="D95" s="53">
        <v>37</v>
      </c>
      <c r="E95" s="51">
        <v>11</v>
      </c>
      <c r="F95" s="51" t="s">
        <v>96</v>
      </c>
      <c r="G95" s="51" t="s">
        <v>130</v>
      </c>
      <c r="H95" s="53">
        <v>49</v>
      </c>
      <c r="I95" s="51" t="s">
        <v>97</v>
      </c>
      <c r="J95" s="53">
        <v>4</v>
      </c>
      <c r="K95" s="51" t="s">
        <v>131</v>
      </c>
      <c r="L95" s="51" t="s">
        <v>94</v>
      </c>
    </row>
    <row r="96" spans="1:12" hidden="1">
      <c r="A96" s="51" t="s">
        <v>129</v>
      </c>
      <c r="B96" s="52">
        <v>0</v>
      </c>
      <c r="C96" s="52">
        <v>706</v>
      </c>
      <c r="D96" s="53">
        <v>31</v>
      </c>
      <c r="E96" s="51">
        <v>14</v>
      </c>
      <c r="F96" s="51" t="s">
        <v>91</v>
      </c>
      <c r="G96" s="51" t="s">
        <v>130</v>
      </c>
      <c r="H96" s="53">
        <v>31</v>
      </c>
      <c r="I96" s="51" t="s">
        <v>127</v>
      </c>
      <c r="J96" s="53">
        <v>2</v>
      </c>
      <c r="K96" s="51" t="s">
        <v>131</v>
      </c>
      <c r="L96" s="51" t="s">
        <v>101</v>
      </c>
    </row>
    <row r="97" spans="1:12" hidden="1">
      <c r="A97" s="51" t="s">
        <v>134</v>
      </c>
      <c r="B97" s="52">
        <v>1257</v>
      </c>
      <c r="C97" s="52">
        <v>0</v>
      </c>
      <c r="D97" s="53">
        <v>10</v>
      </c>
      <c r="E97" s="51">
        <v>65</v>
      </c>
      <c r="F97" s="51" t="s">
        <v>96</v>
      </c>
      <c r="G97" s="51" t="s">
        <v>130</v>
      </c>
      <c r="H97" s="53">
        <v>40</v>
      </c>
      <c r="I97" s="51" t="s">
        <v>135</v>
      </c>
      <c r="J97" s="53">
        <v>4</v>
      </c>
      <c r="K97" s="51" t="s">
        <v>128</v>
      </c>
      <c r="L97" s="51" t="s">
        <v>101</v>
      </c>
    </row>
    <row r="98" spans="1:12" hidden="1">
      <c r="A98" s="51" t="s">
        <v>125</v>
      </c>
      <c r="B98" s="52">
        <v>0</v>
      </c>
      <c r="C98" s="52">
        <v>576</v>
      </c>
      <c r="D98" s="53">
        <v>7</v>
      </c>
      <c r="E98" s="51">
        <v>14</v>
      </c>
      <c r="F98" s="51" t="s">
        <v>96</v>
      </c>
      <c r="G98" s="51" t="s">
        <v>130</v>
      </c>
      <c r="H98" s="53">
        <v>28</v>
      </c>
      <c r="I98" s="51" t="s">
        <v>127</v>
      </c>
      <c r="J98" s="53">
        <v>1</v>
      </c>
      <c r="K98" s="51" t="s">
        <v>131</v>
      </c>
      <c r="L98" s="51" t="s">
        <v>101</v>
      </c>
    </row>
    <row r="99" spans="1:12" hidden="1">
      <c r="A99" s="51" t="s">
        <v>139</v>
      </c>
      <c r="B99" s="52">
        <v>273</v>
      </c>
      <c r="C99" s="52">
        <v>904</v>
      </c>
      <c r="D99" s="53">
        <v>7</v>
      </c>
      <c r="E99" s="51">
        <v>2</v>
      </c>
      <c r="F99" s="51" t="s">
        <v>91</v>
      </c>
      <c r="G99" s="51" t="s">
        <v>136</v>
      </c>
      <c r="H99" s="53">
        <v>21</v>
      </c>
      <c r="I99" s="51" t="s">
        <v>127</v>
      </c>
      <c r="J99" s="53">
        <v>1</v>
      </c>
      <c r="K99" s="51" t="s">
        <v>128</v>
      </c>
      <c r="L99" s="51" t="s">
        <v>101</v>
      </c>
    </row>
    <row r="100" spans="1:12" hidden="1">
      <c r="A100" s="51" t="s">
        <v>137</v>
      </c>
      <c r="B100" s="52">
        <v>522</v>
      </c>
      <c r="C100" s="52">
        <v>194</v>
      </c>
      <c r="D100" s="53">
        <v>25</v>
      </c>
      <c r="E100" s="51">
        <v>79</v>
      </c>
      <c r="F100" s="51" t="s">
        <v>91</v>
      </c>
      <c r="G100" s="51" t="s">
        <v>130</v>
      </c>
      <c r="H100" s="53">
        <v>30</v>
      </c>
      <c r="I100" s="51" t="s">
        <v>127</v>
      </c>
      <c r="J100" s="53">
        <v>4</v>
      </c>
      <c r="K100" s="51" t="s">
        <v>131</v>
      </c>
      <c r="L100" s="51" t="s">
        <v>94</v>
      </c>
    </row>
    <row r="101" spans="1:12" hidden="1">
      <c r="A101" s="51" t="s">
        <v>125</v>
      </c>
      <c r="B101" s="52">
        <v>0</v>
      </c>
      <c r="C101" s="52">
        <v>710</v>
      </c>
      <c r="D101" s="53">
        <v>25</v>
      </c>
      <c r="E101" s="51">
        <v>1</v>
      </c>
      <c r="F101" s="51" t="s">
        <v>96</v>
      </c>
      <c r="G101" s="51" t="s">
        <v>130</v>
      </c>
      <c r="H101" s="53">
        <v>37</v>
      </c>
      <c r="I101" s="51" t="s">
        <v>127</v>
      </c>
      <c r="J101" s="53">
        <v>3</v>
      </c>
      <c r="K101" s="51" t="s">
        <v>131</v>
      </c>
      <c r="L101" s="51" t="s">
        <v>101</v>
      </c>
    </row>
    <row r="102" spans="1:12" hidden="1">
      <c r="A102" s="51" t="s">
        <v>125</v>
      </c>
      <c r="B102" s="52">
        <v>0</v>
      </c>
      <c r="C102" s="52">
        <v>5564</v>
      </c>
      <c r="D102" s="53">
        <v>25</v>
      </c>
      <c r="E102" s="51">
        <v>93</v>
      </c>
      <c r="F102" s="51" t="s">
        <v>91</v>
      </c>
      <c r="G102" s="51" t="s">
        <v>126</v>
      </c>
      <c r="H102" s="53">
        <v>33</v>
      </c>
      <c r="I102" s="51" t="s">
        <v>127</v>
      </c>
      <c r="J102" s="53">
        <v>2</v>
      </c>
      <c r="K102" s="51" t="s">
        <v>131</v>
      </c>
      <c r="L102" s="51" t="s">
        <v>101</v>
      </c>
    </row>
    <row r="103" spans="1:12" hidden="1">
      <c r="A103" s="51" t="s">
        <v>125</v>
      </c>
      <c r="B103" s="52">
        <v>0</v>
      </c>
      <c r="C103" s="52">
        <v>192</v>
      </c>
      <c r="D103" s="53">
        <v>46</v>
      </c>
      <c r="E103" s="51">
        <v>13</v>
      </c>
      <c r="F103" s="51" t="s">
        <v>91</v>
      </c>
      <c r="G103" s="51" t="s">
        <v>126</v>
      </c>
      <c r="H103" s="53">
        <v>22</v>
      </c>
      <c r="I103" s="51" t="s">
        <v>97</v>
      </c>
      <c r="J103" s="53">
        <v>4</v>
      </c>
      <c r="K103" s="51" t="s">
        <v>131</v>
      </c>
      <c r="L103" s="51" t="s">
        <v>94</v>
      </c>
    </row>
    <row r="104" spans="1:12" hidden="1">
      <c r="A104" s="51" t="s">
        <v>132</v>
      </c>
      <c r="B104" s="52">
        <v>0</v>
      </c>
      <c r="C104" s="52">
        <v>637</v>
      </c>
      <c r="D104" s="53">
        <v>13</v>
      </c>
      <c r="E104" s="51">
        <v>21</v>
      </c>
      <c r="F104" s="51" t="s">
        <v>96</v>
      </c>
      <c r="G104" s="51" t="s">
        <v>130</v>
      </c>
      <c r="H104" s="53">
        <v>23</v>
      </c>
      <c r="I104" s="51" t="s">
        <v>127</v>
      </c>
      <c r="J104" s="53">
        <v>2</v>
      </c>
      <c r="K104" s="51" t="s">
        <v>128</v>
      </c>
      <c r="L104" s="51" t="s">
        <v>94</v>
      </c>
    </row>
    <row r="105" spans="1:12" hidden="1">
      <c r="A105" s="51" t="s">
        <v>125</v>
      </c>
      <c r="B105" s="52">
        <v>514</v>
      </c>
      <c r="C105" s="52">
        <v>405</v>
      </c>
      <c r="D105" s="53">
        <v>49</v>
      </c>
      <c r="E105" s="51">
        <v>13</v>
      </c>
      <c r="F105" s="51" t="s">
        <v>96</v>
      </c>
      <c r="G105" s="51" t="s">
        <v>130</v>
      </c>
      <c r="H105" s="53">
        <v>21</v>
      </c>
      <c r="I105" s="51" t="s">
        <v>127</v>
      </c>
      <c r="J105" s="53">
        <v>2</v>
      </c>
      <c r="K105" s="51" t="s">
        <v>131</v>
      </c>
      <c r="L105" s="51" t="s">
        <v>94</v>
      </c>
    </row>
    <row r="106" spans="1:12" hidden="1">
      <c r="A106" s="51" t="s">
        <v>129</v>
      </c>
      <c r="B106" s="52">
        <v>457</v>
      </c>
      <c r="C106" s="52">
        <v>318</v>
      </c>
      <c r="D106" s="53">
        <v>19</v>
      </c>
      <c r="E106" s="51">
        <v>108</v>
      </c>
      <c r="F106" s="51" t="s">
        <v>91</v>
      </c>
      <c r="G106" s="51" t="s">
        <v>126</v>
      </c>
      <c r="H106" s="53">
        <v>40</v>
      </c>
      <c r="I106" s="51" t="s">
        <v>127</v>
      </c>
      <c r="J106" s="53">
        <v>1</v>
      </c>
      <c r="K106" s="51" t="s">
        <v>131</v>
      </c>
      <c r="L106" s="51" t="s">
        <v>101</v>
      </c>
    </row>
    <row r="107" spans="1:12" hidden="1">
      <c r="A107" s="51" t="s">
        <v>125</v>
      </c>
      <c r="B107" s="52">
        <v>5133</v>
      </c>
      <c r="C107" s="52">
        <v>698</v>
      </c>
      <c r="D107" s="53">
        <v>19</v>
      </c>
      <c r="E107" s="51">
        <v>14</v>
      </c>
      <c r="F107" s="51" t="s">
        <v>91</v>
      </c>
      <c r="G107" s="51" t="s">
        <v>126</v>
      </c>
      <c r="H107" s="53">
        <v>36</v>
      </c>
      <c r="I107" s="51" t="s">
        <v>127</v>
      </c>
      <c r="J107" s="53">
        <v>2</v>
      </c>
      <c r="K107" s="51" t="s">
        <v>131</v>
      </c>
      <c r="L107" s="51" t="s">
        <v>94</v>
      </c>
    </row>
    <row r="108" spans="1:12" hidden="1">
      <c r="A108" s="51" t="s">
        <v>132</v>
      </c>
      <c r="B108" s="52">
        <v>0</v>
      </c>
      <c r="C108" s="52">
        <v>369</v>
      </c>
      <c r="D108" s="53">
        <v>10</v>
      </c>
      <c r="E108" s="51">
        <v>16</v>
      </c>
      <c r="F108" s="51" t="s">
        <v>91</v>
      </c>
      <c r="G108" s="51" t="s">
        <v>126</v>
      </c>
      <c r="H108" s="53">
        <v>29</v>
      </c>
      <c r="I108" s="51" t="s">
        <v>127</v>
      </c>
      <c r="J108" s="53">
        <v>1</v>
      </c>
      <c r="K108" s="51" t="s">
        <v>131</v>
      </c>
      <c r="L108" s="51" t="s">
        <v>101</v>
      </c>
    </row>
    <row r="109" spans="1:12" hidden="1">
      <c r="A109" s="51" t="s">
        <v>141</v>
      </c>
      <c r="B109" s="52">
        <v>644</v>
      </c>
      <c r="C109" s="52">
        <v>0</v>
      </c>
      <c r="D109" s="53">
        <v>13</v>
      </c>
      <c r="E109" s="51">
        <v>88</v>
      </c>
      <c r="F109" s="51" t="s">
        <v>91</v>
      </c>
      <c r="G109" s="51" t="s">
        <v>126</v>
      </c>
      <c r="H109" s="53">
        <v>37</v>
      </c>
      <c r="I109" s="51" t="s">
        <v>127</v>
      </c>
      <c r="J109" s="53">
        <v>4</v>
      </c>
      <c r="K109" s="51" t="s">
        <v>131</v>
      </c>
      <c r="L109" s="51" t="s">
        <v>101</v>
      </c>
    </row>
    <row r="110" spans="1:12" hidden="1">
      <c r="A110" s="51" t="s">
        <v>129</v>
      </c>
      <c r="B110" s="52">
        <v>305</v>
      </c>
      <c r="C110" s="52">
        <v>492</v>
      </c>
      <c r="D110" s="53">
        <v>19</v>
      </c>
      <c r="E110" s="51">
        <v>1</v>
      </c>
      <c r="F110" s="51" t="s">
        <v>96</v>
      </c>
      <c r="G110" s="51" t="s">
        <v>130</v>
      </c>
      <c r="H110" s="53">
        <v>26</v>
      </c>
      <c r="I110" s="51" t="s">
        <v>127</v>
      </c>
      <c r="J110" s="53">
        <v>1</v>
      </c>
      <c r="K110" s="51" t="s">
        <v>131</v>
      </c>
      <c r="L110" s="51" t="s">
        <v>101</v>
      </c>
    </row>
    <row r="111" spans="1:12" hidden="1">
      <c r="A111" s="51" t="s">
        <v>132</v>
      </c>
      <c r="B111" s="52">
        <v>9621</v>
      </c>
      <c r="C111" s="52">
        <v>308</v>
      </c>
      <c r="D111" s="53">
        <v>25</v>
      </c>
      <c r="E111" s="51">
        <v>41</v>
      </c>
      <c r="F111" s="51" t="s">
        <v>91</v>
      </c>
      <c r="G111" s="51" t="s">
        <v>126</v>
      </c>
      <c r="H111" s="53">
        <v>37</v>
      </c>
      <c r="I111" s="51" t="s">
        <v>97</v>
      </c>
      <c r="J111" s="53">
        <v>3</v>
      </c>
      <c r="K111" s="51" t="s">
        <v>131</v>
      </c>
      <c r="L111" s="51" t="s">
        <v>94</v>
      </c>
    </row>
    <row r="112" spans="1:12" hidden="1">
      <c r="A112" s="51" t="s">
        <v>134</v>
      </c>
      <c r="B112" s="52">
        <v>0</v>
      </c>
      <c r="C112" s="52">
        <v>127</v>
      </c>
      <c r="D112" s="53">
        <v>13</v>
      </c>
      <c r="E112" s="51">
        <v>22</v>
      </c>
      <c r="F112" s="51" t="s">
        <v>91</v>
      </c>
      <c r="G112" s="51" t="s">
        <v>126</v>
      </c>
      <c r="H112" s="53">
        <v>39</v>
      </c>
      <c r="I112" s="51" t="s">
        <v>135</v>
      </c>
      <c r="J112" s="53">
        <v>4</v>
      </c>
      <c r="K112" s="51" t="s">
        <v>128</v>
      </c>
      <c r="L112" s="51" t="s">
        <v>94</v>
      </c>
    </row>
    <row r="113" spans="1:12" hidden="1">
      <c r="A113" s="51" t="s">
        <v>137</v>
      </c>
      <c r="B113" s="52">
        <v>0</v>
      </c>
      <c r="C113" s="52">
        <v>565</v>
      </c>
      <c r="D113" s="53">
        <v>19</v>
      </c>
      <c r="E113" s="51">
        <v>14</v>
      </c>
      <c r="F113" s="51" t="s">
        <v>91</v>
      </c>
      <c r="G113" s="51" t="s">
        <v>136</v>
      </c>
      <c r="H113" s="53">
        <v>27</v>
      </c>
      <c r="I113" s="51" t="s">
        <v>127</v>
      </c>
      <c r="J113" s="53">
        <v>2</v>
      </c>
      <c r="K113" s="51" t="s">
        <v>131</v>
      </c>
      <c r="L113" s="51" t="s">
        <v>94</v>
      </c>
    </row>
    <row r="114" spans="1:12" hidden="1">
      <c r="A114" s="51" t="s">
        <v>129</v>
      </c>
      <c r="B114" s="52">
        <v>0</v>
      </c>
      <c r="C114" s="52">
        <v>12632</v>
      </c>
      <c r="D114" s="53">
        <v>16</v>
      </c>
      <c r="E114" s="51">
        <v>9</v>
      </c>
      <c r="F114" s="51" t="s">
        <v>96</v>
      </c>
      <c r="G114" s="51" t="s">
        <v>130</v>
      </c>
      <c r="H114" s="53">
        <v>19</v>
      </c>
      <c r="I114" s="51" t="s">
        <v>135</v>
      </c>
      <c r="J114" s="53">
        <v>4</v>
      </c>
      <c r="K114" s="51" t="s">
        <v>131</v>
      </c>
      <c r="L114" s="51" t="s">
        <v>101</v>
      </c>
    </row>
    <row r="115" spans="1:12" hidden="1">
      <c r="A115" s="51" t="s">
        <v>132</v>
      </c>
      <c r="B115" s="52">
        <v>0</v>
      </c>
      <c r="C115" s="52">
        <v>116</v>
      </c>
      <c r="D115" s="53">
        <v>49</v>
      </c>
      <c r="E115" s="51">
        <v>45</v>
      </c>
      <c r="F115" s="51" t="s">
        <v>91</v>
      </c>
      <c r="G115" s="51" t="s">
        <v>126</v>
      </c>
      <c r="H115" s="53">
        <v>45</v>
      </c>
      <c r="I115" s="51" t="s">
        <v>97</v>
      </c>
      <c r="J115" s="53">
        <v>4</v>
      </c>
      <c r="K115" s="51" t="s">
        <v>131</v>
      </c>
      <c r="L115" s="51" t="s">
        <v>94</v>
      </c>
    </row>
    <row r="116" spans="1:12" hidden="1">
      <c r="A116" s="51" t="s">
        <v>138</v>
      </c>
      <c r="B116" s="52">
        <v>0</v>
      </c>
      <c r="C116" s="52">
        <v>178</v>
      </c>
      <c r="D116" s="53">
        <v>13</v>
      </c>
      <c r="E116" s="51">
        <v>89</v>
      </c>
      <c r="F116" s="51" t="s">
        <v>91</v>
      </c>
      <c r="G116" s="51" t="s">
        <v>126</v>
      </c>
      <c r="H116" s="53">
        <v>34</v>
      </c>
      <c r="I116" s="51" t="s">
        <v>97</v>
      </c>
      <c r="J116" s="53">
        <v>4</v>
      </c>
      <c r="K116" s="51" t="s">
        <v>131</v>
      </c>
      <c r="L116" s="51" t="s">
        <v>94</v>
      </c>
    </row>
    <row r="117" spans="1:12" hidden="1">
      <c r="A117" s="51" t="s">
        <v>125</v>
      </c>
      <c r="B117" s="52">
        <v>6851</v>
      </c>
      <c r="C117" s="52">
        <v>901</v>
      </c>
      <c r="D117" s="53">
        <v>13</v>
      </c>
      <c r="E117" s="51">
        <v>21</v>
      </c>
      <c r="F117" s="51" t="s">
        <v>96</v>
      </c>
      <c r="G117" s="51" t="s">
        <v>130</v>
      </c>
      <c r="H117" s="53">
        <v>43</v>
      </c>
      <c r="I117" s="51" t="s">
        <v>135</v>
      </c>
      <c r="J117" s="53">
        <v>2</v>
      </c>
      <c r="K117" s="51" t="s">
        <v>128</v>
      </c>
      <c r="L117" s="51" t="s">
        <v>101</v>
      </c>
    </row>
    <row r="118" spans="1:12" hidden="1">
      <c r="A118" s="51" t="s">
        <v>129</v>
      </c>
      <c r="B118" s="52">
        <v>13496</v>
      </c>
      <c r="C118" s="52">
        <v>650</v>
      </c>
      <c r="D118" s="53">
        <v>19</v>
      </c>
      <c r="E118" s="51">
        <v>20</v>
      </c>
      <c r="F118" s="51" t="s">
        <v>91</v>
      </c>
      <c r="G118" s="51" t="s">
        <v>126</v>
      </c>
      <c r="H118" s="53">
        <v>33</v>
      </c>
      <c r="I118" s="51" t="s">
        <v>127</v>
      </c>
      <c r="J118" s="53">
        <v>1</v>
      </c>
      <c r="K118" s="51" t="s">
        <v>128</v>
      </c>
      <c r="L118" s="51" t="s">
        <v>94</v>
      </c>
    </row>
    <row r="119" spans="1:12" hidden="1">
      <c r="A119" s="51" t="s">
        <v>137</v>
      </c>
      <c r="B119" s="52">
        <v>509</v>
      </c>
      <c r="C119" s="52">
        <v>241</v>
      </c>
      <c r="D119" s="53">
        <v>25</v>
      </c>
      <c r="E119" s="51">
        <v>14</v>
      </c>
      <c r="F119" s="51" t="s">
        <v>91</v>
      </c>
      <c r="G119" s="51" t="s">
        <v>126</v>
      </c>
      <c r="H119" s="53">
        <v>35</v>
      </c>
      <c r="I119" s="51" t="s">
        <v>127</v>
      </c>
      <c r="J119" s="53">
        <v>4</v>
      </c>
      <c r="K119" s="51" t="s">
        <v>128</v>
      </c>
      <c r="L119" s="51" t="s">
        <v>94</v>
      </c>
    </row>
    <row r="120" spans="1:12" hidden="1">
      <c r="A120" s="51" t="s">
        <v>138</v>
      </c>
      <c r="B120" s="52">
        <v>0</v>
      </c>
      <c r="C120" s="52">
        <v>609</v>
      </c>
      <c r="D120" s="53">
        <v>37</v>
      </c>
      <c r="E120" s="51">
        <v>6</v>
      </c>
      <c r="F120" s="51" t="s">
        <v>91</v>
      </c>
      <c r="G120" s="51" t="s">
        <v>126</v>
      </c>
      <c r="H120" s="53">
        <v>31</v>
      </c>
      <c r="I120" s="51" t="s">
        <v>97</v>
      </c>
      <c r="J120" s="53">
        <v>2</v>
      </c>
      <c r="K120" s="51" t="s">
        <v>133</v>
      </c>
      <c r="L120" s="51" t="s">
        <v>101</v>
      </c>
    </row>
    <row r="121" spans="1:12" hidden="1">
      <c r="A121" s="51" t="s">
        <v>129</v>
      </c>
      <c r="B121" s="52">
        <v>19155</v>
      </c>
      <c r="C121" s="52">
        <v>131</v>
      </c>
      <c r="D121" s="53">
        <v>25</v>
      </c>
      <c r="E121" s="51">
        <v>24</v>
      </c>
      <c r="F121" s="51" t="s">
        <v>91</v>
      </c>
      <c r="G121" s="51" t="s">
        <v>126</v>
      </c>
      <c r="H121" s="53">
        <v>25</v>
      </c>
      <c r="I121" s="51" t="s">
        <v>127</v>
      </c>
      <c r="J121" s="53">
        <v>2</v>
      </c>
      <c r="K121" s="51" t="s">
        <v>131</v>
      </c>
      <c r="L121" s="51" t="s">
        <v>101</v>
      </c>
    </row>
    <row r="122" spans="1:12" hidden="1">
      <c r="A122" s="51" t="s">
        <v>129</v>
      </c>
      <c r="B122" s="52">
        <v>0</v>
      </c>
      <c r="C122" s="52">
        <v>544</v>
      </c>
      <c r="D122" s="53">
        <v>19</v>
      </c>
      <c r="E122" s="51">
        <v>15</v>
      </c>
      <c r="F122" s="51" t="s">
        <v>96</v>
      </c>
      <c r="G122" s="51" t="s">
        <v>130</v>
      </c>
      <c r="H122" s="53">
        <v>27</v>
      </c>
      <c r="I122" s="51" t="s">
        <v>127</v>
      </c>
      <c r="J122" s="53">
        <v>2</v>
      </c>
      <c r="K122" s="51" t="s">
        <v>131</v>
      </c>
      <c r="L122" s="51" t="s">
        <v>101</v>
      </c>
    </row>
    <row r="123" spans="1:12" hidden="1">
      <c r="A123" s="51" t="s">
        <v>125</v>
      </c>
      <c r="B123" s="52">
        <v>0</v>
      </c>
      <c r="C123" s="52">
        <v>10853</v>
      </c>
      <c r="D123" s="53">
        <v>25</v>
      </c>
      <c r="E123" s="51">
        <v>81</v>
      </c>
      <c r="F123" s="51" t="s">
        <v>96</v>
      </c>
      <c r="G123" s="51" t="s">
        <v>130</v>
      </c>
      <c r="H123" s="53">
        <v>56</v>
      </c>
      <c r="I123" s="51" t="s">
        <v>135</v>
      </c>
      <c r="J123" s="53">
        <v>4</v>
      </c>
      <c r="K123" s="51" t="s">
        <v>133</v>
      </c>
      <c r="L123" s="51" t="s">
        <v>101</v>
      </c>
    </row>
    <row r="124" spans="1:12" hidden="1">
      <c r="A124" s="51" t="s">
        <v>138</v>
      </c>
      <c r="B124" s="52">
        <v>374</v>
      </c>
      <c r="C124" s="52">
        <v>0</v>
      </c>
      <c r="D124" s="53">
        <v>25</v>
      </c>
      <c r="E124" s="51">
        <v>14</v>
      </c>
      <c r="F124" s="51" t="s">
        <v>91</v>
      </c>
      <c r="G124" s="51" t="s">
        <v>126</v>
      </c>
      <c r="H124" s="53">
        <v>45</v>
      </c>
      <c r="I124" s="51" t="s">
        <v>127</v>
      </c>
      <c r="J124" s="53">
        <v>4</v>
      </c>
      <c r="K124" s="51" t="s">
        <v>133</v>
      </c>
      <c r="L124" s="51" t="s">
        <v>101</v>
      </c>
    </row>
    <row r="125" spans="1:12" hidden="1">
      <c r="A125" s="51" t="s">
        <v>142</v>
      </c>
      <c r="B125" s="52">
        <v>0</v>
      </c>
      <c r="C125" s="52">
        <v>409</v>
      </c>
      <c r="D125" s="53">
        <v>49</v>
      </c>
      <c r="E125" s="51">
        <v>15</v>
      </c>
      <c r="F125" s="51" t="s">
        <v>91</v>
      </c>
      <c r="G125" s="51" t="s">
        <v>126</v>
      </c>
      <c r="H125" s="53">
        <v>53</v>
      </c>
      <c r="I125" s="51" t="s">
        <v>127</v>
      </c>
      <c r="J125" s="53">
        <v>4</v>
      </c>
      <c r="K125" s="51" t="s">
        <v>131</v>
      </c>
      <c r="L125" s="51" t="s">
        <v>94</v>
      </c>
    </row>
    <row r="126" spans="1:12" hidden="1">
      <c r="A126" s="51" t="s">
        <v>129</v>
      </c>
      <c r="B126" s="52">
        <v>828</v>
      </c>
      <c r="C126" s="52">
        <v>391</v>
      </c>
      <c r="D126" s="53">
        <v>9</v>
      </c>
      <c r="E126" s="51">
        <v>12</v>
      </c>
      <c r="F126" s="51" t="s">
        <v>96</v>
      </c>
      <c r="G126" s="51" t="s">
        <v>130</v>
      </c>
      <c r="H126" s="53">
        <v>23</v>
      </c>
      <c r="I126" s="51" t="s">
        <v>127</v>
      </c>
      <c r="J126" s="53">
        <v>4</v>
      </c>
      <c r="K126" s="51" t="s">
        <v>131</v>
      </c>
      <c r="L126" s="51" t="s">
        <v>94</v>
      </c>
    </row>
    <row r="127" spans="1:12" hidden="1">
      <c r="A127" s="51" t="s">
        <v>129</v>
      </c>
      <c r="B127" s="52">
        <v>0</v>
      </c>
      <c r="C127" s="52">
        <v>322</v>
      </c>
      <c r="D127" s="53">
        <v>13</v>
      </c>
      <c r="E127" s="51">
        <v>9</v>
      </c>
      <c r="F127" s="51" t="s">
        <v>96</v>
      </c>
      <c r="G127" s="51" t="s">
        <v>130</v>
      </c>
      <c r="H127" s="53">
        <v>25</v>
      </c>
      <c r="I127" s="51" t="s">
        <v>127</v>
      </c>
      <c r="J127" s="53">
        <v>1</v>
      </c>
      <c r="K127" s="51" t="s">
        <v>131</v>
      </c>
      <c r="L127" s="51" t="s">
        <v>101</v>
      </c>
    </row>
    <row r="128" spans="1:12" hidden="1">
      <c r="A128" s="51" t="s">
        <v>125</v>
      </c>
      <c r="B128" s="52">
        <v>829</v>
      </c>
      <c r="C128" s="52">
        <v>583</v>
      </c>
      <c r="D128" s="53">
        <v>7</v>
      </c>
      <c r="E128" s="51">
        <v>18</v>
      </c>
      <c r="F128" s="51" t="s">
        <v>96</v>
      </c>
      <c r="G128" s="51" t="s">
        <v>130</v>
      </c>
      <c r="H128" s="53">
        <v>63</v>
      </c>
      <c r="I128" s="51" t="s">
        <v>127</v>
      </c>
      <c r="J128" s="53">
        <v>3</v>
      </c>
      <c r="K128" s="51" t="s">
        <v>131</v>
      </c>
      <c r="L128" s="51" t="s">
        <v>101</v>
      </c>
    </row>
    <row r="129" spans="1:12" hidden="1">
      <c r="A129" s="51" t="s">
        <v>125</v>
      </c>
      <c r="B129" s="52">
        <v>0</v>
      </c>
      <c r="C129" s="52">
        <v>12242</v>
      </c>
      <c r="D129" s="53">
        <v>25</v>
      </c>
      <c r="E129" s="51">
        <v>53</v>
      </c>
      <c r="F129" s="51" t="s">
        <v>91</v>
      </c>
      <c r="G129" s="51" t="s">
        <v>126</v>
      </c>
      <c r="H129" s="53">
        <v>34</v>
      </c>
      <c r="I129" s="51" t="s">
        <v>127</v>
      </c>
      <c r="J129" s="53">
        <v>2</v>
      </c>
      <c r="K129" s="51" t="s">
        <v>131</v>
      </c>
      <c r="L129" s="51" t="s">
        <v>94</v>
      </c>
    </row>
    <row r="130" spans="1:12" hidden="1">
      <c r="A130" s="51" t="s">
        <v>129</v>
      </c>
      <c r="B130" s="52">
        <v>0</v>
      </c>
      <c r="C130" s="52">
        <v>479</v>
      </c>
      <c r="D130" s="53">
        <v>19</v>
      </c>
      <c r="E130" s="51">
        <v>0</v>
      </c>
      <c r="F130" s="51" t="s">
        <v>91</v>
      </c>
      <c r="G130" s="51" t="s">
        <v>126</v>
      </c>
      <c r="H130" s="53">
        <v>24</v>
      </c>
      <c r="I130" s="51" t="s">
        <v>127</v>
      </c>
      <c r="J130" s="53">
        <v>1</v>
      </c>
      <c r="K130" s="51" t="s">
        <v>140</v>
      </c>
      <c r="L130" s="51" t="s">
        <v>94</v>
      </c>
    </row>
    <row r="131" spans="1:12" hidden="1">
      <c r="A131" s="51" t="s">
        <v>132</v>
      </c>
      <c r="B131" s="52">
        <v>939</v>
      </c>
      <c r="C131" s="52">
        <v>496</v>
      </c>
      <c r="D131" s="53">
        <v>19</v>
      </c>
      <c r="E131" s="51">
        <v>56</v>
      </c>
      <c r="F131" s="51" t="s">
        <v>91</v>
      </c>
      <c r="G131" s="51" t="s">
        <v>126</v>
      </c>
      <c r="H131" s="53">
        <v>35</v>
      </c>
      <c r="I131" s="51" t="s">
        <v>127</v>
      </c>
      <c r="J131" s="53">
        <v>4</v>
      </c>
      <c r="K131" s="51" t="s">
        <v>131</v>
      </c>
      <c r="L131" s="51" t="s">
        <v>94</v>
      </c>
    </row>
    <row r="132" spans="1:12" hidden="1">
      <c r="A132" s="51" t="s">
        <v>132</v>
      </c>
      <c r="B132" s="52">
        <v>0</v>
      </c>
      <c r="C132" s="52">
        <v>466</v>
      </c>
      <c r="D132" s="53">
        <v>25</v>
      </c>
      <c r="E132" s="51">
        <v>42</v>
      </c>
      <c r="F132" s="51" t="s">
        <v>91</v>
      </c>
      <c r="G132" s="51" t="s">
        <v>126</v>
      </c>
      <c r="H132" s="53">
        <v>30</v>
      </c>
      <c r="I132" s="51" t="s">
        <v>127</v>
      </c>
      <c r="J132" s="53">
        <v>3</v>
      </c>
      <c r="K132" s="51" t="s">
        <v>131</v>
      </c>
      <c r="L132" s="51" t="s">
        <v>94</v>
      </c>
    </row>
    <row r="133" spans="1:12" hidden="1">
      <c r="A133" s="51" t="s">
        <v>132</v>
      </c>
      <c r="B133" s="52">
        <v>889</v>
      </c>
      <c r="C133" s="52">
        <v>1583</v>
      </c>
      <c r="D133" s="53">
        <v>37</v>
      </c>
      <c r="E133" s="51">
        <v>79</v>
      </c>
      <c r="F133" s="51" t="s">
        <v>91</v>
      </c>
      <c r="G133" s="51" t="s">
        <v>126</v>
      </c>
      <c r="H133" s="53">
        <v>29</v>
      </c>
      <c r="I133" s="51" t="s">
        <v>97</v>
      </c>
      <c r="J133" s="53">
        <v>3</v>
      </c>
      <c r="K133" s="51" t="s">
        <v>131</v>
      </c>
      <c r="L133" s="51" t="s">
        <v>101</v>
      </c>
    </row>
    <row r="134" spans="1:12" hidden="1">
      <c r="A134" s="51" t="s">
        <v>129</v>
      </c>
      <c r="B134" s="52">
        <v>876</v>
      </c>
      <c r="C134" s="52">
        <v>1533</v>
      </c>
      <c r="D134" s="53">
        <v>31</v>
      </c>
      <c r="E134" s="51">
        <v>21</v>
      </c>
      <c r="F134" s="51" t="s">
        <v>96</v>
      </c>
      <c r="G134" s="51" t="s">
        <v>130</v>
      </c>
      <c r="H134" s="53">
        <v>20</v>
      </c>
      <c r="I134" s="51" t="s">
        <v>135</v>
      </c>
      <c r="J134" s="53">
        <v>4</v>
      </c>
      <c r="K134" s="51" t="s">
        <v>131</v>
      </c>
      <c r="L134" s="51" t="s">
        <v>94</v>
      </c>
    </row>
    <row r="135" spans="1:12" hidden="1">
      <c r="A135" s="51" t="s">
        <v>125</v>
      </c>
      <c r="B135" s="52">
        <v>893</v>
      </c>
      <c r="C135" s="52">
        <v>0</v>
      </c>
      <c r="D135" s="53">
        <v>16</v>
      </c>
      <c r="E135" s="51">
        <v>94</v>
      </c>
      <c r="F135" s="51" t="s">
        <v>91</v>
      </c>
      <c r="G135" s="51" t="s">
        <v>126</v>
      </c>
      <c r="H135" s="53">
        <v>49</v>
      </c>
      <c r="I135" s="51" t="s">
        <v>127</v>
      </c>
      <c r="J135" s="53">
        <v>4</v>
      </c>
      <c r="K135" s="51" t="s">
        <v>131</v>
      </c>
      <c r="L135" s="51" t="s">
        <v>101</v>
      </c>
    </row>
    <row r="136" spans="1:12" hidden="1">
      <c r="A136" s="51" t="s">
        <v>137</v>
      </c>
      <c r="B136" s="52">
        <v>12760</v>
      </c>
      <c r="C136" s="52">
        <v>4873</v>
      </c>
      <c r="D136" s="53">
        <v>13</v>
      </c>
      <c r="E136" s="51">
        <v>73</v>
      </c>
      <c r="F136" s="51" t="s">
        <v>91</v>
      </c>
      <c r="G136" s="51" t="s">
        <v>126</v>
      </c>
      <c r="H136" s="53">
        <v>56</v>
      </c>
      <c r="I136" s="51" t="s">
        <v>135</v>
      </c>
      <c r="J136" s="53">
        <v>4</v>
      </c>
      <c r="K136" s="51" t="s">
        <v>128</v>
      </c>
      <c r="L136" s="51" t="s">
        <v>101</v>
      </c>
    </row>
    <row r="137" spans="1:12" hidden="1">
      <c r="A137" s="51" t="s">
        <v>129</v>
      </c>
      <c r="B137" s="52">
        <v>0</v>
      </c>
      <c r="C137" s="52">
        <v>0</v>
      </c>
      <c r="D137" s="53">
        <v>13</v>
      </c>
      <c r="E137" s="51">
        <v>94</v>
      </c>
      <c r="F137" s="51" t="s">
        <v>91</v>
      </c>
      <c r="G137" s="51" t="s">
        <v>126</v>
      </c>
      <c r="H137" s="53">
        <v>48</v>
      </c>
      <c r="I137" s="51" t="s">
        <v>135</v>
      </c>
      <c r="J137" s="53">
        <v>4</v>
      </c>
      <c r="K137" s="51" t="s">
        <v>131</v>
      </c>
      <c r="L137" s="51" t="s">
        <v>101</v>
      </c>
    </row>
    <row r="138" spans="1:12" hidden="1">
      <c r="A138" s="51" t="s">
        <v>125</v>
      </c>
      <c r="B138" s="52">
        <v>0</v>
      </c>
      <c r="C138" s="52">
        <v>717</v>
      </c>
      <c r="D138" s="53">
        <v>22</v>
      </c>
      <c r="E138" s="51">
        <v>10</v>
      </c>
      <c r="F138" s="51" t="s">
        <v>96</v>
      </c>
      <c r="G138" s="51" t="s">
        <v>130</v>
      </c>
      <c r="H138" s="53">
        <v>24</v>
      </c>
      <c r="I138" s="51" t="s">
        <v>127</v>
      </c>
      <c r="J138" s="53">
        <v>2</v>
      </c>
      <c r="K138" s="51" t="s">
        <v>131</v>
      </c>
      <c r="L138" s="51" t="s">
        <v>94</v>
      </c>
    </row>
    <row r="139" spans="1:12" hidden="1">
      <c r="A139" s="51" t="s">
        <v>125</v>
      </c>
      <c r="B139" s="52">
        <v>959</v>
      </c>
      <c r="C139" s="52">
        <v>7876</v>
      </c>
      <c r="D139" s="53">
        <v>28</v>
      </c>
      <c r="E139" s="51">
        <v>20</v>
      </c>
      <c r="F139" s="51" t="s">
        <v>91</v>
      </c>
      <c r="G139" s="51" t="s">
        <v>126</v>
      </c>
      <c r="H139" s="53">
        <v>22</v>
      </c>
      <c r="I139" s="51" t="s">
        <v>127</v>
      </c>
      <c r="J139" s="53">
        <v>2</v>
      </c>
      <c r="K139" s="51" t="s">
        <v>128</v>
      </c>
      <c r="L139" s="51" t="s">
        <v>94</v>
      </c>
    </row>
    <row r="140" spans="1:12" hidden="1">
      <c r="A140" s="51" t="s">
        <v>125</v>
      </c>
      <c r="B140" s="52">
        <v>0</v>
      </c>
      <c r="C140" s="52">
        <v>4449</v>
      </c>
      <c r="D140" s="53">
        <v>25</v>
      </c>
      <c r="E140" s="51">
        <v>87</v>
      </c>
      <c r="F140" s="51" t="s">
        <v>91</v>
      </c>
      <c r="G140" s="51" t="s">
        <v>126</v>
      </c>
      <c r="H140" s="53">
        <v>30</v>
      </c>
      <c r="I140" s="51" t="s">
        <v>127</v>
      </c>
      <c r="J140" s="53">
        <v>4</v>
      </c>
      <c r="K140" s="51" t="s">
        <v>131</v>
      </c>
      <c r="L140" s="51" t="s">
        <v>94</v>
      </c>
    </row>
    <row r="141" spans="1:12" hidden="1">
      <c r="A141" s="51" t="s">
        <v>97</v>
      </c>
      <c r="B141" s="52">
        <v>0</v>
      </c>
      <c r="C141" s="52">
        <v>0</v>
      </c>
      <c r="D141" s="53">
        <v>25</v>
      </c>
      <c r="E141" s="51">
        <v>54</v>
      </c>
      <c r="F141" s="51" t="s">
        <v>91</v>
      </c>
      <c r="G141" s="51" t="s">
        <v>126</v>
      </c>
      <c r="H141" s="53">
        <v>39</v>
      </c>
      <c r="I141" s="51" t="s">
        <v>127</v>
      </c>
      <c r="J141" s="53">
        <v>3</v>
      </c>
      <c r="K141" s="51" t="s">
        <v>133</v>
      </c>
      <c r="L141" s="51" t="s">
        <v>94</v>
      </c>
    </row>
    <row r="142" spans="1:12" hidden="1">
      <c r="A142" s="51" t="s">
        <v>137</v>
      </c>
      <c r="B142" s="52">
        <v>0</v>
      </c>
      <c r="C142" s="52">
        <v>104</v>
      </c>
      <c r="D142" s="53">
        <v>25</v>
      </c>
      <c r="E142" s="51">
        <v>23</v>
      </c>
      <c r="F142" s="51" t="s">
        <v>91</v>
      </c>
      <c r="G142" s="51" t="s">
        <v>136</v>
      </c>
      <c r="H142" s="53">
        <v>20</v>
      </c>
      <c r="I142" s="51" t="s">
        <v>127</v>
      </c>
      <c r="J142" s="53">
        <v>2</v>
      </c>
      <c r="K142" s="51" t="s">
        <v>128</v>
      </c>
      <c r="L142" s="51" t="s">
        <v>101</v>
      </c>
    </row>
    <row r="143" spans="1:12" hidden="1">
      <c r="A143" s="51" t="s">
        <v>139</v>
      </c>
      <c r="B143" s="52">
        <v>0</v>
      </c>
      <c r="C143" s="52">
        <v>897</v>
      </c>
      <c r="D143" s="53">
        <v>19</v>
      </c>
      <c r="E143" s="51">
        <v>2</v>
      </c>
      <c r="F143" s="51" t="s">
        <v>96</v>
      </c>
      <c r="G143" s="51" t="s">
        <v>130</v>
      </c>
      <c r="H143" s="53">
        <v>22</v>
      </c>
      <c r="I143" s="51" t="s">
        <v>127</v>
      </c>
      <c r="J143" s="53">
        <v>4</v>
      </c>
      <c r="K143" s="51" t="s">
        <v>131</v>
      </c>
      <c r="L143" s="51" t="s">
        <v>94</v>
      </c>
    </row>
    <row r="144" spans="1:12" hidden="1">
      <c r="A144" s="51" t="s">
        <v>132</v>
      </c>
      <c r="B144" s="52">
        <v>698</v>
      </c>
      <c r="C144" s="52">
        <v>4033</v>
      </c>
      <c r="D144" s="53">
        <v>16</v>
      </c>
      <c r="E144" s="51">
        <v>20</v>
      </c>
      <c r="F144" s="51" t="s">
        <v>91</v>
      </c>
      <c r="G144" s="51" t="s">
        <v>136</v>
      </c>
      <c r="H144" s="53">
        <v>24</v>
      </c>
      <c r="I144" s="51" t="s">
        <v>135</v>
      </c>
      <c r="J144" s="53">
        <v>2</v>
      </c>
      <c r="K144" s="51" t="s">
        <v>131</v>
      </c>
      <c r="L144" s="51" t="s">
        <v>94</v>
      </c>
    </row>
    <row r="145" spans="1:12" hidden="1">
      <c r="A145" s="51" t="s">
        <v>129</v>
      </c>
      <c r="B145" s="52">
        <v>0</v>
      </c>
      <c r="C145" s="52">
        <v>945</v>
      </c>
      <c r="D145" s="53">
        <v>13</v>
      </c>
      <c r="E145" s="51">
        <v>6</v>
      </c>
      <c r="F145" s="51" t="s">
        <v>91</v>
      </c>
      <c r="G145" s="51" t="s">
        <v>130</v>
      </c>
      <c r="H145" s="53">
        <v>41</v>
      </c>
      <c r="I145" s="51" t="s">
        <v>127</v>
      </c>
      <c r="J145" s="53">
        <v>1</v>
      </c>
      <c r="K145" s="51" t="s">
        <v>131</v>
      </c>
      <c r="L145" s="51" t="s">
        <v>101</v>
      </c>
    </row>
    <row r="146" spans="1:12" hidden="1">
      <c r="A146" s="51" t="s">
        <v>129</v>
      </c>
      <c r="B146" s="52">
        <v>0</v>
      </c>
      <c r="C146" s="52">
        <v>836</v>
      </c>
      <c r="D146" s="53">
        <v>25</v>
      </c>
      <c r="E146" s="51">
        <v>99</v>
      </c>
      <c r="F146" s="51" t="s">
        <v>91</v>
      </c>
      <c r="G146" s="51" t="s">
        <v>126</v>
      </c>
      <c r="H146" s="53">
        <v>32</v>
      </c>
      <c r="I146" s="51" t="s">
        <v>127</v>
      </c>
      <c r="J146" s="53">
        <v>4</v>
      </c>
      <c r="K146" s="51" t="s">
        <v>131</v>
      </c>
      <c r="L146" s="51" t="s">
        <v>101</v>
      </c>
    </row>
    <row r="147" spans="1:12" hidden="1">
      <c r="A147" s="51" t="s">
        <v>125</v>
      </c>
      <c r="B147" s="52">
        <v>0</v>
      </c>
      <c r="C147" s="52">
        <v>325</v>
      </c>
      <c r="D147" s="53">
        <v>19</v>
      </c>
      <c r="E147" s="51">
        <v>13</v>
      </c>
      <c r="F147" s="51" t="s">
        <v>96</v>
      </c>
      <c r="G147" s="51" t="s">
        <v>130</v>
      </c>
      <c r="H147" s="53">
        <v>23</v>
      </c>
      <c r="I147" s="51" t="s">
        <v>127</v>
      </c>
      <c r="J147" s="53">
        <v>2</v>
      </c>
      <c r="K147" s="51" t="s">
        <v>131</v>
      </c>
      <c r="L147" s="51" t="s">
        <v>94</v>
      </c>
    </row>
    <row r="148" spans="1:12" hidden="1">
      <c r="A148" s="51" t="s">
        <v>125</v>
      </c>
      <c r="B148" s="52">
        <v>12974</v>
      </c>
      <c r="C148" s="52">
        <v>19568</v>
      </c>
      <c r="D148" s="53">
        <v>13</v>
      </c>
      <c r="E148" s="51">
        <v>7</v>
      </c>
      <c r="F148" s="51" t="s">
        <v>96</v>
      </c>
      <c r="G148" s="51" t="s">
        <v>130</v>
      </c>
      <c r="H148" s="53">
        <v>41</v>
      </c>
      <c r="I148" s="51" t="s">
        <v>135</v>
      </c>
      <c r="J148" s="53">
        <v>3</v>
      </c>
      <c r="K148" s="51" t="s">
        <v>131</v>
      </c>
      <c r="L148" s="51" t="s">
        <v>101</v>
      </c>
    </row>
    <row r="149" spans="1:12" hidden="1">
      <c r="A149" s="51" t="s">
        <v>129</v>
      </c>
      <c r="B149" s="52">
        <v>0</v>
      </c>
      <c r="C149" s="52">
        <v>803</v>
      </c>
      <c r="D149" s="53">
        <v>13</v>
      </c>
      <c r="E149" s="51">
        <v>89</v>
      </c>
      <c r="F149" s="51" t="s">
        <v>91</v>
      </c>
      <c r="G149" s="51" t="s">
        <v>126</v>
      </c>
      <c r="H149" s="53">
        <v>52</v>
      </c>
      <c r="I149" s="51" t="s">
        <v>97</v>
      </c>
      <c r="J149" s="53">
        <v>4</v>
      </c>
      <c r="K149" s="51" t="s">
        <v>133</v>
      </c>
      <c r="L149" s="51" t="s">
        <v>94</v>
      </c>
    </row>
    <row r="150" spans="1:12" hidden="1">
      <c r="A150" s="51" t="s">
        <v>125</v>
      </c>
      <c r="B150" s="52">
        <v>317</v>
      </c>
      <c r="C150" s="52">
        <v>10980</v>
      </c>
      <c r="D150" s="53">
        <v>13</v>
      </c>
      <c r="E150" s="51">
        <v>17</v>
      </c>
      <c r="F150" s="51" t="s">
        <v>91</v>
      </c>
      <c r="G150" s="51" t="s">
        <v>126</v>
      </c>
      <c r="H150" s="53">
        <v>65</v>
      </c>
      <c r="I150" s="51" t="s">
        <v>127</v>
      </c>
      <c r="J150" s="53">
        <v>3</v>
      </c>
      <c r="K150" s="51" t="s">
        <v>128</v>
      </c>
      <c r="L150" s="51" t="s">
        <v>94</v>
      </c>
    </row>
    <row r="151" spans="1:12" hidden="1">
      <c r="A151" s="51" t="s">
        <v>137</v>
      </c>
      <c r="B151" s="52">
        <v>0</v>
      </c>
      <c r="C151" s="52">
        <v>265</v>
      </c>
      <c r="D151" s="53">
        <v>13</v>
      </c>
      <c r="E151" s="51">
        <v>10</v>
      </c>
      <c r="F151" s="51" t="s">
        <v>96</v>
      </c>
      <c r="G151" s="51" t="s">
        <v>130</v>
      </c>
      <c r="H151" s="53">
        <v>26</v>
      </c>
      <c r="I151" s="51" t="s">
        <v>127</v>
      </c>
      <c r="J151" s="53">
        <v>2</v>
      </c>
      <c r="K151" s="51" t="s">
        <v>131</v>
      </c>
      <c r="L151" s="51" t="s">
        <v>101</v>
      </c>
    </row>
    <row r="152" spans="1:12" hidden="1">
      <c r="A152" s="51" t="s">
        <v>139</v>
      </c>
      <c r="B152" s="52">
        <v>0</v>
      </c>
      <c r="C152" s="52">
        <v>609</v>
      </c>
      <c r="D152" s="53">
        <v>31</v>
      </c>
      <c r="E152" s="51">
        <v>3</v>
      </c>
      <c r="F152" s="51" t="s">
        <v>91</v>
      </c>
      <c r="G152" s="51" t="s">
        <v>130</v>
      </c>
      <c r="H152" s="53">
        <v>33</v>
      </c>
      <c r="I152" s="51" t="s">
        <v>127</v>
      </c>
      <c r="J152" s="53">
        <v>1</v>
      </c>
      <c r="K152" s="51" t="s">
        <v>128</v>
      </c>
      <c r="L152" s="51" t="s">
        <v>94</v>
      </c>
    </row>
    <row r="153" spans="1:12" hidden="1">
      <c r="A153" s="51" t="s">
        <v>125</v>
      </c>
      <c r="B153" s="52">
        <v>0</v>
      </c>
      <c r="C153" s="52">
        <v>1851</v>
      </c>
      <c r="D153" s="53">
        <v>12</v>
      </c>
      <c r="E153" s="51">
        <v>0</v>
      </c>
      <c r="F153" s="51" t="s">
        <v>96</v>
      </c>
      <c r="G153" s="51" t="s">
        <v>130</v>
      </c>
      <c r="H153" s="53">
        <v>56</v>
      </c>
      <c r="I153" s="51" t="s">
        <v>127</v>
      </c>
      <c r="J153" s="53">
        <v>4</v>
      </c>
      <c r="K153" s="51" t="s">
        <v>128</v>
      </c>
      <c r="L153" s="51" t="s">
        <v>101</v>
      </c>
    </row>
    <row r="154" spans="1:12" hidden="1">
      <c r="A154" s="51" t="s">
        <v>129</v>
      </c>
      <c r="B154" s="52">
        <v>192</v>
      </c>
      <c r="C154" s="52">
        <v>199</v>
      </c>
      <c r="D154" s="53">
        <v>25</v>
      </c>
      <c r="E154" s="51">
        <v>5</v>
      </c>
      <c r="F154" s="51" t="s">
        <v>96</v>
      </c>
      <c r="G154" s="51" t="s">
        <v>130</v>
      </c>
      <c r="H154" s="53">
        <v>24</v>
      </c>
      <c r="I154" s="51" t="s">
        <v>127</v>
      </c>
      <c r="J154" s="53">
        <v>4</v>
      </c>
      <c r="K154" s="51" t="s">
        <v>128</v>
      </c>
      <c r="L154" s="51" t="s">
        <v>94</v>
      </c>
    </row>
    <row r="155" spans="1:12" hidden="1">
      <c r="A155" s="51" t="s">
        <v>132</v>
      </c>
      <c r="B155" s="52">
        <v>0</v>
      </c>
      <c r="C155" s="52">
        <v>500</v>
      </c>
      <c r="D155" s="53">
        <v>28</v>
      </c>
      <c r="E155" s="51">
        <v>7</v>
      </c>
      <c r="F155" s="51" t="s">
        <v>96</v>
      </c>
      <c r="G155" s="51" t="s">
        <v>130</v>
      </c>
      <c r="H155" s="53">
        <v>20</v>
      </c>
      <c r="I155" s="51" t="s">
        <v>135</v>
      </c>
      <c r="J155" s="53">
        <v>3</v>
      </c>
      <c r="K155" s="51" t="s">
        <v>131</v>
      </c>
      <c r="L155" s="51" t="s">
        <v>94</v>
      </c>
    </row>
    <row r="156" spans="1:12" hidden="1">
      <c r="A156" s="51" t="s">
        <v>132</v>
      </c>
      <c r="B156" s="52">
        <v>0</v>
      </c>
      <c r="C156" s="52">
        <v>509</v>
      </c>
      <c r="D156" s="53">
        <v>16</v>
      </c>
      <c r="E156" s="51">
        <v>3</v>
      </c>
      <c r="F156" s="51" t="s">
        <v>91</v>
      </c>
      <c r="G156" s="51" t="s">
        <v>126</v>
      </c>
      <c r="H156" s="53">
        <v>35</v>
      </c>
      <c r="I156" s="51" t="s">
        <v>127</v>
      </c>
      <c r="J156" s="53">
        <v>3</v>
      </c>
      <c r="K156" s="51" t="s">
        <v>131</v>
      </c>
      <c r="L156" s="51" t="s">
        <v>101</v>
      </c>
    </row>
    <row r="157" spans="1:12" hidden="1">
      <c r="A157" s="51" t="s">
        <v>138</v>
      </c>
      <c r="B157" s="52">
        <v>0</v>
      </c>
      <c r="C157" s="52">
        <v>270</v>
      </c>
      <c r="D157" s="53">
        <v>25</v>
      </c>
      <c r="E157" s="51">
        <v>25</v>
      </c>
      <c r="F157" s="51" t="s">
        <v>91</v>
      </c>
      <c r="G157" s="51" t="s">
        <v>126</v>
      </c>
      <c r="H157" s="53">
        <v>34</v>
      </c>
      <c r="I157" s="51" t="s">
        <v>127</v>
      </c>
      <c r="J157" s="53">
        <v>3</v>
      </c>
      <c r="K157" s="51" t="s">
        <v>131</v>
      </c>
      <c r="L157" s="51" t="s">
        <v>101</v>
      </c>
    </row>
    <row r="158" spans="1:12" hidden="1">
      <c r="A158" s="51" t="s">
        <v>132</v>
      </c>
      <c r="B158" s="52">
        <v>0</v>
      </c>
      <c r="C158" s="52">
        <v>457</v>
      </c>
      <c r="D158" s="53">
        <v>13</v>
      </c>
      <c r="E158" s="51">
        <v>63</v>
      </c>
      <c r="F158" s="51" t="s">
        <v>91</v>
      </c>
      <c r="G158" s="51" t="s">
        <v>126</v>
      </c>
      <c r="H158" s="53">
        <v>38</v>
      </c>
      <c r="I158" s="51" t="s">
        <v>127</v>
      </c>
      <c r="J158" s="53">
        <v>4</v>
      </c>
      <c r="K158" s="51" t="s">
        <v>133</v>
      </c>
      <c r="L158" s="51" t="s">
        <v>101</v>
      </c>
    </row>
    <row r="159" spans="1:12" hidden="1">
      <c r="A159" s="51" t="s">
        <v>138</v>
      </c>
      <c r="B159" s="52">
        <v>0</v>
      </c>
      <c r="C159" s="52">
        <v>260</v>
      </c>
      <c r="D159" s="53">
        <v>25</v>
      </c>
      <c r="E159" s="51">
        <v>78</v>
      </c>
      <c r="F159" s="51" t="s">
        <v>91</v>
      </c>
      <c r="G159" s="51" t="s">
        <v>126</v>
      </c>
      <c r="H159" s="53">
        <v>34</v>
      </c>
      <c r="I159" s="51" t="s">
        <v>127</v>
      </c>
      <c r="J159" s="53">
        <v>4</v>
      </c>
      <c r="K159" s="51" t="s">
        <v>133</v>
      </c>
      <c r="L159" s="51" t="s">
        <v>101</v>
      </c>
    </row>
    <row r="160" spans="1:12" hidden="1">
      <c r="A160" s="51" t="s">
        <v>132</v>
      </c>
      <c r="B160" s="52">
        <v>942</v>
      </c>
      <c r="C160" s="52">
        <v>3036</v>
      </c>
      <c r="D160" s="53">
        <v>25</v>
      </c>
      <c r="E160" s="51">
        <v>36</v>
      </c>
      <c r="F160" s="51" t="s">
        <v>91</v>
      </c>
      <c r="G160" s="51" t="s">
        <v>126</v>
      </c>
      <c r="H160" s="53">
        <v>37</v>
      </c>
      <c r="I160" s="51" t="s">
        <v>127</v>
      </c>
      <c r="J160" s="53">
        <v>3</v>
      </c>
      <c r="K160" s="51" t="s">
        <v>131</v>
      </c>
      <c r="L160" s="51" t="s">
        <v>101</v>
      </c>
    </row>
    <row r="161" spans="1:12" hidden="1">
      <c r="A161" s="51" t="s">
        <v>125</v>
      </c>
      <c r="B161" s="52">
        <v>0</v>
      </c>
      <c r="C161" s="52">
        <v>643</v>
      </c>
      <c r="D161" s="53">
        <v>19</v>
      </c>
      <c r="E161" s="51">
        <v>6</v>
      </c>
      <c r="F161" s="51" t="s">
        <v>91</v>
      </c>
      <c r="G161" s="51" t="s">
        <v>126</v>
      </c>
      <c r="H161" s="53">
        <v>31</v>
      </c>
      <c r="I161" s="51" t="s">
        <v>97</v>
      </c>
      <c r="J161" s="53">
        <v>2</v>
      </c>
      <c r="K161" s="51" t="s">
        <v>133</v>
      </c>
      <c r="L161" s="51" t="s">
        <v>101</v>
      </c>
    </row>
    <row r="162" spans="1:12" hidden="1">
      <c r="A162" s="51" t="s">
        <v>132</v>
      </c>
      <c r="B162" s="52">
        <v>3329</v>
      </c>
      <c r="C162" s="52">
        <v>0</v>
      </c>
      <c r="D162" s="53">
        <v>19</v>
      </c>
      <c r="E162" s="51">
        <v>15</v>
      </c>
      <c r="F162" s="51" t="s">
        <v>91</v>
      </c>
      <c r="G162" s="51" t="s">
        <v>126</v>
      </c>
      <c r="H162" s="53">
        <v>67</v>
      </c>
      <c r="I162" s="51" t="s">
        <v>135</v>
      </c>
      <c r="J162" s="53">
        <v>4</v>
      </c>
      <c r="K162" s="51" t="s">
        <v>131</v>
      </c>
      <c r="L162" s="51" t="s">
        <v>94</v>
      </c>
    </row>
    <row r="163" spans="1:12" hidden="1">
      <c r="A163" s="51" t="s">
        <v>138</v>
      </c>
      <c r="B163" s="52">
        <v>0</v>
      </c>
      <c r="C163" s="52">
        <v>6345</v>
      </c>
      <c r="D163" s="53">
        <v>25</v>
      </c>
      <c r="E163" s="51">
        <v>19</v>
      </c>
      <c r="F163" s="51" t="s">
        <v>91</v>
      </c>
      <c r="G163" s="51" t="s">
        <v>126</v>
      </c>
      <c r="H163" s="53">
        <v>26</v>
      </c>
      <c r="I163" s="51" t="s">
        <v>127</v>
      </c>
      <c r="J163" s="53">
        <v>2</v>
      </c>
      <c r="K163" s="51" t="s">
        <v>131</v>
      </c>
      <c r="L163" s="51" t="s">
        <v>101</v>
      </c>
    </row>
    <row r="164" spans="1:12" hidden="1">
      <c r="A164" s="51" t="s">
        <v>134</v>
      </c>
      <c r="B164" s="52">
        <v>0</v>
      </c>
      <c r="C164" s="52">
        <v>922</v>
      </c>
      <c r="D164" s="53">
        <v>37</v>
      </c>
      <c r="E164" s="51">
        <v>9</v>
      </c>
      <c r="F164" s="51" t="s">
        <v>96</v>
      </c>
      <c r="G164" s="51" t="s">
        <v>130</v>
      </c>
      <c r="H164" s="53">
        <v>24</v>
      </c>
      <c r="I164" s="51" t="s">
        <v>127</v>
      </c>
      <c r="J164" s="53">
        <v>2</v>
      </c>
      <c r="K164" s="51" t="s">
        <v>133</v>
      </c>
      <c r="L164" s="51" t="s">
        <v>94</v>
      </c>
    </row>
    <row r="165" spans="1:12" hidden="1">
      <c r="A165" s="51" t="s">
        <v>129</v>
      </c>
      <c r="B165" s="52">
        <v>0</v>
      </c>
      <c r="C165" s="52">
        <v>909</v>
      </c>
      <c r="D165" s="53">
        <v>25</v>
      </c>
      <c r="E165" s="51">
        <v>3</v>
      </c>
      <c r="F165" s="51" t="s">
        <v>91</v>
      </c>
      <c r="G165" s="51" t="s">
        <v>126</v>
      </c>
      <c r="H165" s="53">
        <v>21</v>
      </c>
      <c r="I165" s="51" t="s">
        <v>97</v>
      </c>
      <c r="J165" s="53">
        <v>1</v>
      </c>
      <c r="K165" s="51" t="s">
        <v>131</v>
      </c>
      <c r="L165" s="51" t="s">
        <v>101</v>
      </c>
    </row>
    <row r="166" spans="1:12" hidden="1">
      <c r="A166" s="51" t="s">
        <v>142</v>
      </c>
      <c r="B166" s="52">
        <v>0</v>
      </c>
      <c r="C166" s="52">
        <v>775</v>
      </c>
      <c r="D166" s="53">
        <v>19</v>
      </c>
      <c r="E166" s="51">
        <v>8</v>
      </c>
      <c r="F166" s="51" t="s">
        <v>91</v>
      </c>
      <c r="G166" s="51" t="s">
        <v>136</v>
      </c>
      <c r="H166" s="53">
        <v>46</v>
      </c>
      <c r="I166" s="51" t="s">
        <v>127</v>
      </c>
      <c r="J166" s="53">
        <v>3</v>
      </c>
      <c r="K166" s="51" t="s">
        <v>128</v>
      </c>
      <c r="L166" s="51" t="s">
        <v>94</v>
      </c>
    </row>
    <row r="167" spans="1:12" hidden="1">
      <c r="A167" s="51" t="s">
        <v>129</v>
      </c>
      <c r="B167" s="52">
        <v>0</v>
      </c>
      <c r="C167" s="52">
        <v>979</v>
      </c>
      <c r="D167" s="53">
        <v>25</v>
      </c>
      <c r="E167" s="51">
        <v>48</v>
      </c>
      <c r="F167" s="51" t="s">
        <v>91</v>
      </c>
      <c r="G167" s="51" t="s">
        <v>126</v>
      </c>
      <c r="H167" s="53">
        <v>22</v>
      </c>
      <c r="I167" s="51" t="s">
        <v>135</v>
      </c>
      <c r="J167" s="53">
        <v>4</v>
      </c>
      <c r="K167" s="51" t="s">
        <v>131</v>
      </c>
      <c r="L167" s="51" t="s">
        <v>94</v>
      </c>
    </row>
    <row r="168" spans="1:12" hidden="1">
      <c r="A168" s="51" t="s">
        <v>129</v>
      </c>
      <c r="B168" s="52">
        <v>0</v>
      </c>
      <c r="C168" s="52">
        <v>948</v>
      </c>
      <c r="D168" s="53">
        <v>19</v>
      </c>
      <c r="E168" s="51">
        <v>2</v>
      </c>
      <c r="F168" s="51" t="s">
        <v>96</v>
      </c>
      <c r="G168" s="51" t="s">
        <v>130</v>
      </c>
      <c r="H168" s="53">
        <v>20</v>
      </c>
      <c r="I168" s="51" t="s">
        <v>135</v>
      </c>
      <c r="J168" s="53">
        <v>4</v>
      </c>
      <c r="K168" s="51" t="s">
        <v>131</v>
      </c>
      <c r="L168" s="51" t="s">
        <v>101</v>
      </c>
    </row>
    <row r="169" spans="1:12" hidden="1">
      <c r="A169" s="51" t="s">
        <v>137</v>
      </c>
      <c r="B169" s="52">
        <v>339</v>
      </c>
      <c r="C169" s="52">
        <v>2790</v>
      </c>
      <c r="D169" s="53">
        <v>22</v>
      </c>
      <c r="E169" s="51">
        <v>55</v>
      </c>
      <c r="F169" s="51" t="s">
        <v>91</v>
      </c>
      <c r="G169" s="51" t="s">
        <v>130</v>
      </c>
      <c r="H169" s="53">
        <v>60</v>
      </c>
      <c r="I169" s="51" t="s">
        <v>135</v>
      </c>
      <c r="J169" s="53">
        <v>2</v>
      </c>
      <c r="K169" s="51" t="s">
        <v>128</v>
      </c>
      <c r="L169" s="51" t="s">
        <v>94</v>
      </c>
    </row>
    <row r="170" spans="1:12" hidden="1">
      <c r="A170" s="51" t="s">
        <v>138</v>
      </c>
      <c r="B170" s="52">
        <v>0</v>
      </c>
      <c r="C170" s="52">
        <v>309</v>
      </c>
      <c r="D170" s="53">
        <v>49</v>
      </c>
      <c r="E170" s="51">
        <v>37</v>
      </c>
      <c r="F170" s="51" t="s">
        <v>91</v>
      </c>
      <c r="G170" s="51" t="s">
        <v>126</v>
      </c>
      <c r="H170" s="53">
        <v>25</v>
      </c>
      <c r="I170" s="51" t="s">
        <v>127</v>
      </c>
      <c r="J170" s="53">
        <v>3</v>
      </c>
      <c r="K170" s="51" t="s">
        <v>131</v>
      </c>
      <c r="L170" s="51" t="s">
        <v>101</v>
      </c>
    </row>
    <row r="171" spans="1:12" hidden="1">
      <c r="A171" s="51" t="s">
        <v>125</v>
      </c>
      <c r="B171" s="52">
        <v>0</v>
      </c>
      <c r="C171" s="52">
        <v>762</v>
      </c>
      <c r="D171" s="53">
        <v>10</v>
      </c>
      <c r="E171" s="51">
        <v>1</v>
      </c>
      <c r="F171" s="51" t="s">
        <v>96</v>
      </c>
      <c r="G171" s="51" t="s">
        <v>130</v>
      </c>
      <c r="H171" s="53">
        <v>21</v>
      </c>
      <c r="I171" s="51" t="s">
        <v>135</v>
      </c>
      <c r="J171" s="53">
        <v>4</v>
      </c>
      <c r="K171" s="51" t="s">
        <v>131</v>
      </c>
      <c r="L171" s="51" t="s">
        <v>94</v>
      </c>
    </row>
    <row r="172" spans="1:12" hidden="1">
      <c r="A172" s="51" t="s">
        <v>125</v>
      </c>
      <c r="B172" s="52">
        <v>0</v>
      </c>
      <c r="C172" s="52">
        <v>970</v>
      </c>
      <c r="D172" s="53">
        <v>13</v>
      </c>
      <c r="E172" s="51">
        <v>14</v>
      </c>
      <c r="F172" s="51" t="s">
        <v>96</v>
      </c>
      <c r="G172" s="51" t="s">
        <v>130</v>
      </c>
      <c r="H172" s="53">
        <v>22</v>
      </c>
      <c r="I172" s="51" t="s">
        <v>127</v>
      </c>
      <c r="J172" s="53">
        <v>1</v>
      </c>
      <c r="K172" s="51" t="s">
        <v>131</v>
      </c>
      <c r="L172" s="51" t="s">
        <v>101</v>
      </c>
    </row>
    <row r="173" spans="1:12" hidden="1">
      <c r="A173" s="51" t="s">
        <v>138</v>
      </c>
      <c r="B173" s="52">
        <v>105</v>
      </c>
      <c r="C173" s="52">
        <v>320</v>
      </c>
      <c r="D173" s="53">
        <v>28</v>
      </c>
      <c r="E173" s="51">
        <v>54</v>
      </c>
      <c r="F173" s="51" t="s">
        <v>91</v>
      </c>
      <c r="G173" s="51" t="s">
        <v>126</v>
      </c>
      <c r="H173" s="53">
        <v>29</v>
      </c>
      <c r="I173" s="51" t="s">
        <v>127</v>
      </c>
      <c r="J173" s="53">
        <v>2</v>
      </c>
      <c r="K173" s="51" t="s">
        <v>133</v>
      </c>
      <c r="L173" s="51" t="s">
        <v>101</v>
      </c>
    </row>
    <row r="174" spans="1:12" hidden="1">
      <c r="A174" s="51" t="s">
        <v>125</v>
      </c>
      <c r="B174" s="52">
        <v>0</v>
      </c>
      <c r="C174" s="52">
        <v>861</v>
      </c>
      <c r="D174" s="53">
        <v>13</v>
      </c>
      <c r="E174" s="51">
        <v>111</v>
      </c>
      <c r="F174" s="51" t="s">
        <v>91</v>
      </c>
      <c r="G174" s="51" t="s">
        <v>126</v>
      </c>
      <c r="H174" s="53">
        <v>56</v>
      </c>
      <c r="I174" s="51" t="s">
        <v>127</v>
      </c>
      <c r="J174" s="53">
        <v>4</v>
      </c>
      <c r="K174" s="51" t="s">
        <v>128</v>
      </c>
      <c r="L174" s="51" t="s">
        <v>94</v>
      </c>
    </row>
    <row r="175" spans="1:12" hidden="1">
      <c r="A175" s="51" t="s">
        <v>139</v>
      </c>
      <c r="B175" s="52">
        <v>216</v>
      </c>
      <c r="C175" s="52">
        <v>262</v>
      </c>
      <c r="D175" s="53">
        <v>37</v>
      </c>
      <c r="E175" s="51">
        <v>2</v>
      </c>
      <c r="F175" s="51" t="s">
        <v>91</v>
      </c>
      <c r="G175" s="51" t="s">
        <v>126</v>
      </c>
      <c r="H175" s="53">
        <v>32</v>
      </c>
      <c r="I175" s="51" t="s">
        <v>135</v>
      </c>
      <c r="J175" s="53">
        <v>1</v>
      </c>
      <c r="K175" s="51" t="s">
        <v>128</v>
      </c>
      <c r="L175" s="51" t="s">
        <v>94</v>
      </c>
    </row>
    <row r="176" spans="1:12" hidden="1">
      <c r="A176" s="51" t="s">
        <v>129</v>
      </c>
      <c r="B176" s="52">
        <v>113</v>
      </c>
      <c r="C176" s="52">
        <v>692</v>
      </c>
      <c r="D176" s="53">
        <v>11</v>
      </c>
      <c r="E176" s="51">
        <v>14</v>
      </c>
      <c r="F176" s="51" t="s">
        <v>91</v>
      </c>
      <c r="G176" s="51" t="s">
        <v>130</v>
      </c>
      <c r="H176" s="53">
        <v>30</v>
      </c>
      <c r="I176" s="51" t="s">
        <v>127</v>
      </c>
      <c r="J176" s="53">
        <v>2</v>
      </c>
      <c r="K176" s="51" t="s">
        <v>128</v>
      </c>
      <c r="L176" s="51" t="s">
        <v>101</v>
      </c>
    </row>
    <row r="177" spans="1:12" hidden="1">
      <c r="A177" s="51" t="s">
        <v>138</v>
      </c>
      <c r="B177" s="52">
        <v>109</v>
      </c>
      <c r="C177" s="52">
        <v>540</v>
      </c>
      <c r="D177" s="53">
        <v>37</v>
      </c>
      <c r="E177" s="51">
        <v>1</v>
      </c>
      <c r="F177" s="51" t="s">
        <v>91</v>
      </c>
      <c r="G177" s="51" t="s">
        <v>136</v>
      </c>
      <c r="H177" s="53">
        <v>27</v>
      </c>
      <c r="I177" s="51" t="s">
        <v>135</v>
      </c>
      <c r="J177" s="53">
        <v>4</v>
      </c>
      <c r="K177" s="51" t="s">
        <v>133</v>
      </c>
      <c r="L177" s="51" t="s">
        <v>94</v>
      </c>
    </row>
    <row r="178" spans="1:12" hidden="1">
      <c r="A178" s="51" t="s">
        <v>132</v>
      </c>
      <c r="B178" s="52">
        <v>0</v>
      </c>
      <c r="C178" s="52">
        <v>470</v>
      </c>
      <c r="D178" s="53">
        <v>13</v>
      </c>
      <c r="E178" s="51">
        <v>0</v>
      </c>
      <c r="F178" s="51" t="s">
        <v>96</v>
      </c>
      <c r="G178" s="51" t="s">
        <v>130</v>
      </c>
      <c r="H178" s="53">
        <v>37</v>
      </c>
      <c r="I178" s="51" t="s">
        <v>127</v>
      </c>
      <c r="J178" s="53">
        <v>2</v>
      </c>
      <c r="K178" s="51" t="s">
        <v>140</v>
      </c>
      <c r="L178" s="51" t="s">
        <v>101</v>
      </c>
    </row>
    <row r="179" spans="1:12" hidden="1">
      <c r="A179" s="51" t="s">
        <v>132</v>
      </c>
      <c r="B179" s="52">
        <v>0</v>
      </c>
      <c r="C179" s="52">
        <v>192</v>
      </c>
      <c r="D179" s="53">
        <v>7</v>
      </c>
      <c r="E179" s="51">
        <v>2</v>
      </c>
      <c r="F179" s="51" t="s">
        <v>91</v>
      </c>
      <c r="G179" s="51" t="s">
        <v>126</v>
      </c>
      <c r="H179" s="53">
        <v>39</v>
      </c>
      <c r="I179" s="51" t="s">
        <v>127</v>
      </c>
      <c r="J179" s="53">
        <v>4</v>
      </c>
      <c r="K179" s="51" t="s">
        <v>128</v>
      </c>
      <c r="L179" s="51" t="s">
        <v>101</v>
      </c>
    </row>
    <row r="180" spans="1:12" hidden="1">
      <c r="A180" s="51" t="s">
        <v>132</v>
      </c>
      <c r="B180" s="52">
        <v>8176</v>
      </c>
      <c r="C180" s="52">
        <v>12230</v>
      </c>
      <c r="D180" s="53">
        <v>7</v>
      </c>
      <c r="E180" s="51">
        <v>5</v>
      </c>
      <c r="F180" s="51" t="s">
        <v>91</v>
      </c>
      <c r="G180" s="51" t="s">
        <v>136</v>
      </c>
      <c r="H180" s="53">
        <v>26</v>
      </c>
      <c r="I180" s="51" t="s">
        <v>127</v>
      </c>
      <c r="J180" s="53">
        <v>2</v>
      </c>
      <c r="K180" s="51" t="s">
        <v>140</v>
      </c>
      <c r="L180" s="51" t="s">
        <v>101</v>
      </c>
    </row>
    <row r="181" spans="1:12" hidden="1">
      <c r="A181" s="51" t="s">
        <v>139</v>
      </c>
      <c r="B181" s="52">
        <v>0</v>
      </c>
      <c r="C181" s="52">
        <v>772</v>
      </c>
      <c r="D181" s="53">
        <v>25</v>
      </c>
      <c r="E181" s="51">
        <v>19</v>
      </c>
      <c r="F181" s="51" t="s">
        <v>91</v>
      </c>
      <c r="G181" s="51" t="s">
        <v>130</v>
      </c>
      <c r="H181" s="53">
        <v>32</v>
      </c>
      <c r="I181" s="51" t="s">
        <v>127</v>
      </c>
      <c r="J181" s="53">
        <v>2</v>
      </c>
      <c r="K181" s="51" t="s">
        <v>131</v>
      </c>
      <c r="L181" s="51" t="s">
        <v>101</v>
      </c>
    </row>
    <row r="182" spans="1:12" hidden="1">
      <c r="A182" s="51" t="s">
        <v>129</v>
      </c>
      <c r="B182" s="52">
        <v>468</v>
      </c>
      <c r="C182" s="52">
        <v>14186</v>
      </c>
      <c r="D182" s="53">
        <v>22</v>
      </c>
      <c r="E182" s="51">
        <v>24</v>
      </c>
      <c r="F182" s="51" t="s">
        <v>91</v>
      </c>
      <c r="G182" s="51" t="s">
        <v>126</v>
      </c>
      <c r="H182" s="53">
        <v>31</v>
      </c>
      <c r="I182" s="51" t="s">
        <v>127</v>
      </c>
      <c r="J182" s="53">
        <v>2</v>
      </c>
      <c r="K182" s="51" t="s">
        <v>131</v>
      </c>
      <c r="L182" s="51" t="s">
        <v>101</v>
      </c>
    </row>
    <row r="183" spans="1:12" hidden="1">
      <c r="A183" s="51" t="s">
        <v>138</v>
      </c>
      <c r="B183" s="52">
        <v>7885</v>
      </c>
      <c r="C183" s="52">
        <v>6330</v>
      </c>
      <c r="D183" s="53">
        <v>16</v>
      </c>
      <c r="E183" s="51">
        <v>14</v>
      </c>
      <c r="F183" s="51" t="s">
        <v>91</v>
      </c>
      <c r="G183" s="51" t="s">
        <v>126</v>
      </c>
      <c r="H183" s="53">
        <v>35</v>
      </c>
      <c r="I183" s="51" t="s">
        <v>127</v>
      </c>
      <c r="J183" s="53">
        <v>2</v>
      </c>
      <c r="K183" s="51" t="s">
        <v>131</v>
      </c>
      <c r="L183" s="51" t="s">
        <v>101</v>
      </c>
    </row>
    <row r="184" spans="1:12" hidden="1">
      <c r="A184" s="51" t="s">
        <v>125</v>
      </c>
      <c r="B184" s="52">
        <v>0</v>
      </c>
      <c r="C184" s="52">
        <v>18716</v>
      </c>
      <c r="D184" s="53">
        <v>19</v>
      </c>
      <c r="E184" s="51">
        <v>93</v>
      </c>
      <c r="F184" s="51" t="s">
        <v>91</v>
      </c>
      <c r="G184" s="51" t="s">
        <v>126</v>
      </c>
      <c r="H184" s="53">
        <v>31</v>
      </c>
      <c r="I184" s="51" t="s">
        <v>127</v>
      </c>
      <c r="J184" s="53">
        <v>3</v>
      </c>
      <c r="K184" s="51" t="s">
        <v>133</v>
      </c>
      <c r="L184" s="51" t="s">
        <v>101</v>
      </c>
    </row>
    <row r="185" spans="1:12" hidden="1">
      <c r="A185" s="51" t="s">
        <v>132</v>
      </c>
      <c r="B185" s="52">
        <v>0</v>
      </c>
      <c r="C185" s="52">
        <v>886</v>
      </c>
      <c r="D185" s="53">
        <v>22</v>
      </c>
      <c r="E185" s="51">
        <v>96</v>
      </c>
      <c r="F185" s="51" t="s">
        <v>91</v>
      </c>
      <c r="G185" s="51" t="s">
        <v>126</v>
      </c>
      <c r="H185" s="53">
        <v>64</v>
      </c>
      <c r="I185" s="51" t="s">
        <v>127</v>
      </c>
      <c r="J185" s="53">
        <v>4</v>
      </c>
      <c r="K185" s="51" t="s">
        <v>131</v>
      </c>
      <c r="L185" s="51" t="s">
        <v>101</v>
      </c>
    </row>
    <row r="186" spans="1:12" hidden="1">
      <c r="A186" s="51" t="s">
        <v>137</v>
      </c>
      <c r="B186" s="52">
        <v>0</v>
      </c>
      <c r="C186" s="52">
        <v>750</v>
      </c>
      <c r="D186" s="53">
        <v>37</v>
      </c>
      <c r="E186" s="51">
        <v>2</v>
      </c>
      <c r="F186" s="51" t="s">
        <v>91</v>
      </c>
      <c r="G186" s="51" t="s">
        <v>130</v>
      </c>
      <c r="H186" s="53">
        <v>27</v>
      </c>
      <c r="I186" s="51" t="s">
        <v>127</v>
      </c>
      <c r="J186" s="53">
        <v>1</v>
      </c>
      <c r="K186" s="51" t="s">
        <v>131</v>
      </c>
      <c r="L186" s="51" t="s">
        <v>94</v>
      </c>
    </row>
    <row r="187" spans="1:12" hidden="1">
      <c r="A187" s="51" t="s">
        <v>125</v>
      </c>
      <c r="B187" s="52">
        <v>0</v>
      </c>
      <c r="C187" s="52">
        <v>3870</v>
      </c>
      <c r="D187" s="53">
        <v>25</v>
      </c>
      <c r="E187" s="51">
        <v>11</v>
      </c>
      <c r="F187" s="51" t="s">
        <v>96</v>
      </c>
      <c r="G187" s="51" t="s">
        <v>130</v>
      </c>
      <c r="H187" s="53">
        <v>31</v>
      </c>
      <c r="I187" s="51" t="s">
        <v>127</v>
      </c>
      <c r="J187" s="53">
        <v>2</v>
      </c>
      <c r="K187" s="51" t="s">
        <v>128</v>
      </c>
      <c r="L187" s="51" t="s">
        <v>94</v>
      </c>
    </row>
    <row r="188" spans="1:12" hidden="1">
      <c r="A188" s="51" t="s">
        <v>125</v>
      </c>
      <c r="B188" s="52">
        <v>0</v>
      </c>
      <c r="C188" s="52">
        <v>3273</v>
      </c>
      <c r="D188" s="53">
        <v>13</v>
      </c>
      <c r="E188" s="51">
        <v>4</v>
      </c>
      <c r="F188" s="51" t="s">
        <v>91</v>
      </c>
      <c r="G188" s="51" t="s">
        <v>136</v>
      </c>
      <c r="H188" s="53">
        <v>32</v>
      </c>
      <c r="I188" s="51" t="s">
        <v>127</v>
      </c>
      <c r="J188" s="53">
        <v>3</v>
      </c>
      <c r="K188" s="51" t="s">
        <v>128</v>
      </c>
      <c r="L188" s="51" t="s">
        <v>94</v>
      </c>
    </row>
    <row r="189" spans="1:12" hidden="1">
      <c r="A189" s="51" t="s">
        <v>137</v>
      </c>
      <c r="B189" s="52">
        <v>0</v>
      </c>
      <c r="C189" s="52">
        <v>406</v>
      </c>
      <c r="D189" s="53">
        <v>6</v>
      </c>
      <c r="E189" s="51">
        <v>35</v>
      </c>
      <c r="F189" s="51" t="s">
        <v>91</v>
      </c>
      <c r="G189" s="51" t="s">
        <v>126</v>
      </c>
      <c r="H189" s="53">
        <v>73</v>
      </c>
      <c r="I189" s="51" t="s">
        <v>127</v>
      </c>
      <c r="J189" s="53">
        <v>4</v>
      </c>
      <c r="K189" s="51" t="s">
        <v>128</v>
      </c>
      <c r="L189" s="51" t="s">
        <v>101</v>
      </c>
    </row>
    <row r="190" spans="1:12" hidden="1">
      <c r="A190" s="51" t="s">
        <v>129</v>
      </c>
      <c r="B190" s="52">
        <v>0</v>
      </c>
      <c r="C190" s="52">
        <v>461</v>
      </c>
      <c r="D190" s="53">
        <v>13</v>
      </c>
      <c r="E190" s="51">
        <v>48</v>
      </c>
      <c r="F190" s="51" t="s">
        <v>96</v>
      </c>
      <c r="G190" s="51" t="s">
        <v>130</v>
      </c>
      <c r="H190" s="53">
        <v>30</v>
      </c>
      <c r="I190" s="51" t="s">
        <v>127</v>
      </c>
      <c r="J190" s="53">
        <v>4</v>
      </c>
      <c r="K190" s="51" t="s">
        <v>128</v>
      </c>
      <c r="L190" s="51" t="s">
        <v>101</v>
      </c>
    </row>
    <row r="191" spans="1:12" hidden="1">
      <c r="A191" s="51" t="s">
        <v>129</v>
      </c>
      <c r="B191" s="52">
        <v>0</v>
      </c>
      <c r="C191" s="52">
        <v>340</v>
      </c>
      <c r="D191" s="53">
        <v>19</v>
      </c>
      <c r="E191" s="51">
        <v>4</v>
      </c>
      <c r="F191" s="51" t="s">
        <v>91</v>
      </c>
      <c r="G191" s="51" t="s">
        <v>136</v>
      </c>
      <c r="H191" s="53">
        <v>42</v>
      </c>
      <c r="I191" s="51" t="s">
        <v>127</v>
      </c>
      <c r="J191" s="53">
        <v>1</v>
      </c>
      <c r="K191" s="51" t="s">
        <v>128</v>
      </c>
      <c r="L191" s="51" t="s">
        <v>94</v>
      </c>
    </row>
    <row r="192" spans="1:12" hidden="1">
      <c r="A192" s="51" t="s">
        <v>125</v>
      </c>
      <c r="B192" s="52">
        <v>0</v>
      </c>
      <c r="C192" s="52">
        <v>6490</v>
      </c>
      <c r="D192" s="53">
        <v>19</v>
      </c>
      <c r="E192" s="51">
        <v>85</v>
      </c>
      <c r="F192" s="51" t="s">
        <v>91</v>
      </c>
      <c r="G192" s="51" t="s">
        <v>126</v>
      </c>
      <c r="H192" s="53">
        <v>45</v>
      </c>
      <c r="I192" s="51" t="s">
        <v>127</v>
      </c>
      <c r="J192" s="53">
        <v>4</v>
      </c>
      <c r="K192" s="51" t="s">
        <v>131</v>
      </c>
      <c r="L192" s="51" t="s">
        <v>101</v>
      </c>
    </row>
    <row r="193" spans="1:12" hidden="1">
      <c r="A193" s="51" t="s">
        <v>125</v>
      </c>
      <c r="B193" s="52">
        <v>734</v>
      </c>
      <c r="C193" s="52">
        <v>348</v>
      </c>
      <c r="D193" s="53">
        <v>7</v>
      </c>
      <c r="E193" s="51">
        <v>100</v>
      </c>
      <c r="F193" s="51" t="s">
        <v>91</v>
      </c>
      <c r="G193" s="51" t="s">
        <v>126</v>
      </c>
      <c r="H193" s="53">
        <v>27</v>
      </c>
      <c r="I193" s="51" t="s">
        <v>127</v>
      </c>
      <c r="J193" s="53">
        <v>4</v>
      </c>
      <c r="K193" s="51" t="s">
        <v>131</v>
      </c>
      <c r="L193" s="51" t="s">
        <v>101</v>
      </c>
    </row>
    <row r="194" spans="1:12" hidden="1">
      <c r="A194" s="51" t="s">
        <v>129</v>
      </c>
      <c r="B194" s="52">
        <v>0</v>
      </c>
      <c r="C194" s="52">
        <v>506</v>
      </c>
      <c r="D194" s="53">
        <v>25</v>
      </c>
      <c r="E194" s="51">
        <v>3</v>
      </c>
      <c r="F194" s="51" t="s">
        <v>96</v>
      </c>
      <c r="G194" s="51" t="s">
        <v>130</v>
      </c>
      <c r="H194" s="53">
        <v>22</v>
      </c>
      <c r="I194" s="51" t="s">
        <v>135</v>
      </c>
      <c r="J194" s="53">
        <v>4</v>
      </c>
      <c r="K194" s="51" t="s">
        <v>128</v>
      </c>
      <c r="L194" s="51" t="s">
        <v>94</v>
      </c>
    </row>
    <row r="195" spans="1:12" hidden="1">
      <c r="A195" s="51" t="s">
        <v>138</v>
      </c>
      <c r="B195" s="52">
        <v>0</v>
      </c>
      <c r="C195" s="52">
        <v>14717</v>
      </c>
      <c r="D195" s="53">
        <v>28</v>
      </c>
      <c r="E195" s="51">
        <v>7</v>
      </c>
      <c r="F195" s="51" t="s">
        <v>91</v>
      </c>
      <c r="G195" s="51" t="s">
        <v>126</v>
      </c>
      <c r="H195" s="53">
        <v>26</v>
      </c>
      <c r="I195" s="51" t="s">
        <v>127</v>
      </c>
      <c r="J195" s="53">
        <v>2</v>
      </c>
      <c r="K195" s="51" t="s">
        <v>131</v>
      </c>
      <c r="L195" s="51" t="s">
        <v>101</v>
      </c>
    </row>
    <row r="196" spans="1:12" hidden="1">
      <c r="A196" s="51" t="s">
        <v>137</v>
      </c>
      <c r="B196" s="52">
        <v>172</v>
      </c>
      <c r="C196" s="52">
        <v>0</v>
      </c>
      <c r="D196" s="53">
        <v>25</v>
      </c>
      <c r="E196" s="51">
        <v>36</v>
      </c>
      <c r="F196" s="51" t="s">
        <v>91</v>
      </c>
      <c r="G196" s="51" t="s">
        <v>126</v>
      </c>
      <c r="H196" s="53">
        <v>33</v>
      </c>
      <c r="I196" s="51" t="s">
        <v>127</v>
      </c>
      <c r="J196" s="53">
        <v>3</v>
      </c>
      <c r="K196" s="51" t="s">
        <v>131</v>
      </c>
      <c r="L196" s="51" t="s">
        <v>101</v>
      </c>
    </row>
    <row r="197" spans="1:12" hidden="1">
      <c r="A197" s="51" t="s">
        <v>132</v>
      </c>
      <c r="B197" s="52">
        <v>644</v>
      </c>
      <c r="C197" s="52">
        <v>1571</v>
      </c>
      <c r="D197" s="53">
        <v>19</v>
      </c>
      <c r="E197" s="51">
        <v>1</v>
      </c>
      <c r="F197" s="51" t="s">
        <v>96</v>
      </c>
      <c r="G197" s="51" t="s">
        <v>130</v>
      </c>
      <c r="H197" s="53">
        <v>27</v>
      </c>
      <c r="I197" s="51" t="s">
        <v>127</v>
      </c>
      <c r="J197" s="53">
        <v>3</v>
      </c>
      <c r="K197" s="51" t="s">
        <v>131</v>
      </c>
      <c r="L197" s="51" t="s">
        <v>94</v>
      </c>
    </row>
    <row r="198" spans="1:12" hidden="1">
      <c r="A198" s="51" t="s">
        <v>132</v>
      </c>
      <c r="B198" s="52">
        <v>0</v>
      </c>
      <c r="C198" s="52">
        <v>0</v>
      </c>
      <c r="D198" s="53">
        <v>25</v>
      </c>
      <c r="E198" s="51">
        <v>19</v>
      </c>
      <c r="F198" s="51" t="s">
        <v>96</v>
      </c>
      <c r="G198" s="51" t="s">
        <v>130</v>
      </c>
      <c r="H198" s="53">
        <v>24</v>
      </c>
      <c r="I198" s="51" t="s">
        <v>135</v>
      </c>
      <c r="J198" s="53">
        <v>4</v>
      </c>
      <c r="K198" s="51" t="s">
        <v>131</v>
      </c>
      <c r="L198" s="51" t="s">
        <v>94</v>
      </c>
    </row>
    <row r="199" spans="1:12" hidden="1">
      <c r="A199" s="51" t="s">
        <v>129</v>
      </c>
      <c r="B199" s="52">
        <v>617</v>
      </c>
      <c r="C199" s="52">
        <v>411</v>
      </c>
      <c r="D199" s="53">
        <v>31</v>
      </c>
      <c r="E199" s="51">
        <v>3</v>
      </c>
      <c r="F199" s="51" t="s">
        <v>91</v>
      </c>
      <c r="G199" s="51" t="s">
        <v>136</v>
      </c>
      <c r="H199" s="53">
        <v>21</v>
      </c>
      <c r="I199" s="51" t="s">
        <v>127</v>
      </c>
      <c r="J199" s="53">
        <v>1</v>
      </c>
      <c r="K199" s="51" t="s">
        <v>131</v>
      </c>
      <c r="L199" s="51" t="s">
        <v>101</v>
      </c>
    </row>
    <row r="200" spans="1:12" hidden="1">
      <c r="A200" s="51" t="s">
        <v>132</v>
      </c>
      <c r="B200" s="52">
        <v>0</v>
      </c>
      <c r="C200" s="52">
        <v>544</v>
      </c>
      <c r="D200" s="53">
        <v>25</v>
      </c>
      <c r="E200" s="51">
        <v>0</v>
      </c>
      <c r="F200" s="51" t="s">
        <v>96</v>
      </c>
      <c r="G200" s="51" t="s">
        <v>130</v>
      </c>
      <c r="H200" s="53">
        <v>28</v>
      </c>
      <c r="I200" s="51" t="s">
        <v>135</v>
      </c>
      <c r="J200" s="53">
        <v>4</v>
      </c>
      <c r="K200" s="51" t="s">
        <v>140</v>
      </c>
      <c r="L200" s="51" t="s">
        <v>94</v>
      </c>
    </row>
    <row r="201" spans="1:12" hidden="1">
      <c r="A201" s="51" t="s">
        <v>125</v>
      </c>
      <c r="B201" s="52">
        <v>586</v>
      </c>
      <c r="C201" s="52">
        <v>0</v>
      </c>
      <c r="D201" s="53">
        <v>13</v>
      </c>
      <c r="E201" s="51">
        <v>0</v>
      </c>
      <c r="F201" s="51" t="s">
        <v>91</v>
      </c>
      <c r="G201" s="51" t="s">
        <v>126</v>
      </c>
      <c r="H201" s="53">
        <v>51</v>
      </c>
      <c r="I201" s="51" t="s">
        <v>127</v>
      </c>
      <c r="J201" s="53">
        <v>1</v>
      </c>
      <c r="K201" s="51" t="s">
        <v>133</v>
      </c>
      <c r="L201" s="51" t="s">
        <v>94</v>
      </c>
    </row>
    <row r="202" spans="1:12" hidden="1">
      <c r="A202" s="51" t="s">
        <v>129</v>
      </c>
      <c r="B202" s="52">
        <v>0</v>
      </c>
      <c r="C202" s="52">
        <v>835</v>
      </c>
      <c r="D202" s="53">
        <v>19</v>
      </c>
      <c r="E202" s="51">
        <v>42</v>
      </c>
      <c r="F202" s="51" t="s">
        <v>96</v>
      </c>
      <c r="G202" s="51" t="s">
        <v>130</v>
      </c>
      <c r="H202" s="53">
        <v>21</v>
      </c>
      <c r="I202" s="51" t="s">
        <v>127</v>
      </c>
      <c r="J202" s="53">
        <v>1</v>
      </c>
      <c r="K202" s="51" t="s">
        <v>131</v>
      </c>
      <c r="L202" s="51" t="s">
        <v>94</v>
      </c>
    </row>
    <row r="203" spans="1:12" hidden="1">
      <c r="A203" s="51" t="s">
        <v>125</v>
      </c>
      <c r="B203" s="52">
        <v>0</v>
      </c>
      <c r="C203" s="52">
        <v>823</v>
      </c>
      <c r="D203" s="53">
        <v>25</v>
      </c>
      <c r="E203" s="51">
        <v>47</v>
      </c>
      <c r="F203" s="51" t="s">
        <v>91</v>
      </c>
      <c r="G203" s="51" t="s">
        <v>126</v>
      </c>
      <c r="H203" s="53">
        <v>27</v>
      </c>
      <c r="I203" s="51" t="s">
        <v>127</v>
      </c>
      <c r="J203" s="53">
        <v>2</v>
      </c>
      <c r="K203" s="51" t="s">
        <v>131</v>
      </c>
      <c r="L203" s="51" t="s">
        <v>101</v>
      </c>
    </row>
    <row r="204" spans="1:12" hidden="1">
      <c r="A204" s="51" t="s">
        <v>137</v>
      </c>
      <c r="B204" s="52">
        <v>0</v>
      </c>
      <c r="C204" s="52">
        <v>5180</v>
      </c>
      <c r="D204" s="53">
        <v>22</v>
      </c>
      <c r="E204" s="51">
        <v>4</v>
      </c>
      <c r="F204" s="51" t="s">
        <v>91</v>
      </c>
      <c r="G204" s="51" t="s">
        <v>126</v>
      </c>
      <c r="H204" s="53">
        <v>40</v>
      </c>
      <c r="I204" s="51" t="s">
        <v>127</v>
      </c>
      <c r="J204" s="53">
        <v>2</v>
      </c>
      <c r="K204" s="51" t="s">
        <v>128</v>
      </c>
      <c r="L204" s="51" t="s">
        <v>94</v>
      </c>
    </row>
    <row r="205" spans="1:12" hidden="1">
      <c r="A205" s="51" t="s">
        <v>125</v>
      </c>
      <c r="B205" s="52">
        <v>0</v>
      </c>
      <c r="C205" s="52">
        <v>408</v>
      </c>
      <c r="D205" s="53">
        <v>16</v>
      </c>
      <c r="E205" s="51">
        <v>12</v>
      </c>
      <c r="F205" s="51" t="s">
        <v>91</v>
      </c>
      <c r="G205" s="51" t="s">
        <v>126</v>
      </c>
      <c r="H205" s="53">
        <v>34</v>
      </c>
      <c r="I205" s="51" t="s">
        <v>97</v>
      </c>
      <c r="J205" s="53">
        <v>4</v>
      </c>
      <c r="K205" s="51" t="s">
        <v>131</v>
      </c>
      <c r="L205" s="51" t="s">
        <v>101</v>
      </c>
    </row>
    <row r="206" spans="1:12" hidden="1">
      <c r="A206" s="51" t="s">
        <v>132</v>
      </c>
      <c r="B206" s="52">
        <v>0</v>
      </c>
      <c r="C206" s="52">
        <v>821</v>
      </c>
      <c r="D206" s="53">
        <v>48</v>
      </c>
      <c r="E206" s="51">
        <v>5</v>
      </c>
      <c r="F206" s="51" t="s">
        <v>96</v>
      </c>
      <c r="G206" s="51" t="s">
        <v>130</v>
      </c>
      <c r="H206" s="53">
        <v>34</v>
      </c>
      <c r="I206" s="51" t="s">
        <v>127</v>
      </c>
      <c r="J206" s="53">
        <v>1</v>
      </c>
      <c r="K206" s="51" t="s">
        <v>128</v>
      </c>
      <c r="L206" s="51" t="s">
        <v>101</v>
      </c>
    </row>
    <row r="207" spans="1:12" hidden="1">
      <c r="A207" s="51" t="s">
        <v>134</v>
      </c>
      <c r="B207" s="52">
        <v>522</v>
      </c>
      <c r="C207" s="52">
        <v>385</v>
      </c>
      <c r="D207" s="53">
        <v>10</v>
      </c>
      <c r="E207" s="51">
        <v>66</v>
      </c>
      <c r="F207" s="51" t="s">
        <v>91</v>
      </c>
      <c r="G207" s="51" t="s">
        <v>126</v>
      </c>
      <c r="H207" s="53">
        <v>63</v>
      </c>
      <c r="I207" s="51" t="s">
        <v>127</v>
      </c>
      <c r="J207" s="53">
        <v>4</v>
      </c>
      <c r="K207" s="51" t="s">
        <v>128</v>
      </c>
      <c r="L207" s="51" t="s">
        <v>101</v>
      </c>
    </row>
    <row r="208" spans="1:12" hidden="1">
      <c r="A208" s="51" t="s">
        <v>132</v>
      </c>
      <c r="B208" s="52">
        <v>585</v>
      </c>
      <c r="C208" s="52">
        <v>2223</v>
      </c>
      <c r="D208" s="53">
        <v>16</v>
      </c>
      <c r="E208" s="51">
        <v>0</v>
      </c>
      <c r="F208" s="51" t="s">
        <v>91</v>
      </c>
      <c r="G208" s="51" t="s">
        <v>126</v>
      </c>
      <c r="H208" s="53">
        <v>33</v>
      </c>
      <c r="I208" s="51" t="s">
        <v>127</v>
      </c>
      <c r="J208" s="53">
        <v>2</v>
      </c>
      <c r="K208" s="51" t="s">
        <v>133</v>
      </c>
      <c r="L208" s="51" t="s">
        <v>94</v>
      </c>
    </row>
    <row r="209" spans="1:12" hidden="1">
      <c r="A209" s="51" t="s">
        <v>132</v>
      </c>
      <c r="B209" s="52">
        <v>5588</v>
      </c>
      <c r="C209" s="52">
        <v>0</v>
      </c>
      <c r="D209" s="53">
        <v>22</v>
      </c>
      <c r="E209" s="51">
        <v>10</v>
      </c>
      <c r="F209" s="51" t="s">
        <v>96</v>
      </c>
      <c r="G209" s="51" t="s">
        <v>130</v>
      </c>
      <c r="H209" s="53">
        <v>28</v>
      </c>
      <c r="I209" s="51" t="s">
        <v>127</v>
      </c>
      <c r="J209" s="53">
        <v>4</v>
      </c>
      <c r="K209" s="51" t="s">
        <v>131</v>
      </c>
      <c r="L209" s="51" t="s">
        <v>94</v>
      </c>
    </row>
    <row r="210" spans="1:12" hidden="1">
      <c r="A210" s="51" t="s">
        <v>132</v>
      </c>
      <c r="B210" s="52">
        <v>0</v>
      </c>
      <c r="C210" s="52">
        <v>605</v>
      </c>
      <c r="D210" s="53">
        <v>37</v>
      </c>
      <c r="E210" s="51">
        <v>20</v>
      </c>
      <c r="F210" s="51" t="s">
        <v>96</v>
      </c>
      <c r="G210" s="51" t="s">
        <v>130</v>
      </c>
      <c r="H210" s="53">
        <v>24</v>
      </c>
      <c r="I210" s="51" t="s">
        <v>127</v>
      </c>
      <c r="J210" s="53">
        <v>2</v>
      </c>
      <c r="K210" s="51" t="s">
        <v>131</v>
      </c>
      <c r="L210" s="51" t="s">
        <v>94</v>
      </c>
    </row>
    <row r="211" spans="1:12" hidden="1">
      <c r="A211" s="51" t="s">
        <v>129</v>
      </c>
      <c r="B211" s="52">
        <v>352</v>
      </c>
      <c r="C211" s="52">
        <v>7525</v>
      </c>
      <c r="D211" s="53">
        <v>13</v>
      </c>
      <c r="E211" s="51">
        <v>4</v>
      </c>
      <c r="F211" s="51" t="s">
        <v>96</v>
      </c>
      <c r="G211" s="51" t="s">
        <v>130</v>
      </c>
      <c r="H211" s="53">
        <v>18</v>
      </c>
      <c r="I211" s="51" t="s">
        <v>135</v>
      </c>
      <c r="J211" s="53">
        <v>4</v>
      </c>
      <c r="K211" s="51" t="s">
        <v>128</v>
      </c>
      <c r="L211" s="51" t="s">
        <v>101</v>
      </c>
    </row>
    <row r="212" spans="1:12" hidden="1">
      <c r="A212" s="51" t="s">
        <v>125</v>
      </c>
      <c r="B212" s="52">
        <v>0</v>
      </c>
      <c r="C212" s="52">
        <v>3529</v>
      </c>
      <c r="D212" s="53">
        <v>14</v>
      </c>
      <c r="E212" s="51">
        <v>0</v>
      </c>
      <c r="F212" s="51" t="s">
        <v>96</v>
      </c>
      <c r="G212" s="51" t="s">
        <v>130</v>
      </c>
      <c r="H212" s="53">
        <v>63</v>
      </c>
      <c r="I212" s="51" t="s">
        <v>127</v>
      </c>
      <c r="J212" s="53">
        <v>4</v>
      </c>
      <c r="K212" s="51" t="s">
        <v>131</v>
      </c>
      <c r="L212" s="51" t="s">
        <v>101</v>
      </c>
    </row>
    <row r="213" spans="1:12" hidden="1">
      <c r="A213" s="51" t="s">
        <v>137</v>
      </c>
      <c r="B213" s="52">
        <v>2715</v>
      </c>
      <c r="C213" s="52">
        <v>1435</v>
      </c>
      <c r="D213" s="53">
        <v>49</v>
      </c>
      <c r="E213" s="51">
        <v>14</v>
      </c>
      <c r="F213" s="51" t="s">
        <v>91</v>
      </c>
      <c r="G213" s="51" t="s">
        <v>130</v>
      </c>
      <c r="H213" s="53">
        <v>37</v>
      </c>
      <c r="I213" s="51" t="s">
        <v>127</v>
      </c>
      <c r="J213" s="53">
        <v>2</v>
      </c>
      <c r="K213" s="51" t="s">
        <v>131</v>
      </c>
      <c r="L213" s="51" t="s">
        <v>94</v>
      </c>
    </row>
    <row r="214" spans="1:12" hidden="1">
      <c r="A214" s="51" t="s">
        <v>97</v>
      </c>
      <c r="B214" s="52">
        <v>560</v>
      </c>
      <c r="C214" s="52">
        <v>887</v>
      </c>
      <c r="D214" s="53">
        <v>25</v>
      </c>
      <c r="E214" s="51">
        <v>20</v>
      </c>
      <c r="F214" s="51" t="s">
        <v>91</v>
      </c>
      <c r="G214" s="51" t="s">
        <v>126</v>
      </c>
      <c r="H214" s="53">
        <v>38</v>
      </c>
      <c r="I214" s="51" t="s">
        <v>127</v>
      </c>
      <c r="J214" s="53">
        <v>3</v>
      </c>
      <c r="K214" s="51" t="s">
        <v>133</v>
      </c>
      <c r="L214" s="51" t="s">
        <v>94</v>
      </c>
    </row>
    <row r="215" spans="1:12" hidden="1">
      <c r="A215" s="51" t="s">
        <v>125</v>
      </c>
      <c r="B215" s="52">
        <v>895</v>
      </c>
      <c r="C215" s="52">
        <v>243</v>
      </c>
      <c r="D215" s="53">
        <v>13</v>
      </c>
      <c r="E215" s="51">
        <v>4</v>
      </c>
      <c r="F215" s="51" t="s">
        <v>91</v>
      </c>
      <c r="G215" s="51" t="s">
        <v>136</v>
      </c>
      <c r="H215" s="53">
        <v>22</v>
      </c>
      <c r="I215" s="51" t="s">
        <v>135</v>
      </c>
      <c r="J215" s="53">
        <v>1</v>
      </c>
      <c r="K215" s="51" t="s">
        <v>131</v>
      </c>
      <c r="L215" s="51" t="s">
        <v>94</v>
      </c>
    </row>
    <row r="216" spans="1:12" hidden="1">
      <c r="A216" s="51" t="s">
        <v>132</v>
      </c>
      <c r="B216" s="52">
        <v>305</v>
      </c>
      <c r="C216" s="52">
        <v>4553</v>
      </c>
      <c r="D216" s="53">
        <v>7</v>
      </c>
      <c r="E216" s="51">
        <v>2</v>
      </c>
      <c r="F216" s="51" t="s">
        <v>96</v>
      </c>
      <c r="G216" s="51" t="s">
        <v>130</v>
      </c>
      <c r="H216" s="53">
        <v>31</v>
      </c>
      <c r="I216" s="51" t="s">
        <v>127</v>
      </c>
      <c r="J216" s="53">
        <v>1</v>
      </c>
      <c r="K216" s="51" t="s">
        <v>128</v>
      </c>
      <c r="L216" s="51" t="s">
        <v>94</v>
      </c>
    </row>
    <row r="217" spans="1:12" hidden="1">
      <c r="A217" s="51" t="s">
        <v>125</v>
      </c>
      <c r="B217" s="52">
        <v>0</v>
      </c>
      <c r="C217" s="52">
        <v>418</v>
      </c>
      <c r="D217" s="53">
        <v>19</v>
      </c>
      <c r="E217" s="51">
        <v>4</v>
      </c>
      <c r="F217" s="51" t="s">
        <v>91</v>
      </c>
      <c r="G217" s="51" t="s">
        <v>126</v>
      </c>
      <c r="H217" s="53">
        <v>31</v>
      </c>
      <c r="I217" s="51" t="s">
        <v>127</v>
      </c>
      <c r="J217" s="53">
        <v>2</v>
      </c>
      <c r="K217" s="51" t="s">
        <v>131</v>
      </c>
      <c r="L217" s="51" t="s">
        <v>101</v>
      </c>
    </row>
    <row r="218" spans="1:12" hidden="1">
      <c r="A218" s="51" t="s">
        <v>132</v>
      </c>
      <c r="B218" s="52">
        <v>0</v>
      </c>
      <c r="C218" s="52">
        <v>771</v>
      </c>
      <c r="D218" s="53">
        <v>25</v>
      </c>
      <c r="E218" s="51">
        <v>0</v>
      </c>
      <c r="F218" s="51" t="s">
        <v>91</v>
      </c>
      <c r="G218" s="51" t="s">
        <v>126</v>
      </c>
      <c r="H218" s="53">
        <v>42</v>
      </c>
      <c r="I218" s="51" t="s">
        <v>97</v>
      </c>
      <c r="J218" s="53">
        <v>2</v>
      </c>
      <c r="K218" s="51" t="s">
        <v>131</v>
      </c>
      <c r="L218" s="51" t="s">
        <v>94</v>
      </c>
    </row>
    <row r="219" spans="1:12" hidden="1">
      <c r="A219" s="51" t="s">
        <v>129</v>
      </c>
      <c r="B219" s="52">
        <v>0</v>
      </c>
      <c r="C219" s="52">
        <v>463</v>
      </c>
      <c r="D219" s="53">
        <v>11</v>
      </c>
      <c r="E219" s="51">
        <v>13</v>
      </c>
      <c r="F219" s="51" t="s">
        <v>91</v>
      </c>
      <c r="G219" s="51" t="s">
        <v>126</v>
      </c>
      <c r="H219" s="53">
        <v>24</v>
      </c>
      <c r="I219" s="51" t="s">
        <v>135</v>
      </c>
      <c r="J219" s="53">
        <v>2</v>
      </c>
      <c r="K219" s="51" t="s">
        <v>128</v>
      </c>
      <c r="L219" s="51" t="s">
        <v>94</v>
      </c>
    </row>
    <row r="220" spans="1:12" hidden="1">
      <c r="A220" s="51" t="s">
        <v>137</v>
      </c>
      <c r="B220" s="52">
        <v>8948</v>
      </c>
      <c r="C220" s="52">
        <v>110</v>
      </c>
      <c r="D220" s="53">
        <v>31</v>
      </c>
      <c r="E220" s="51">
        <v>90</v>
      </c>
      <c r="F220" s="51" t="s">
        <v>91</v>
      </c>
      <c r="G220" s="51" t="s">
        <v>126</v>
      </c>
      <c r="H220" s="53">
        <v>65</v>
      </c>
      <c r="I220" s="51" t="s">
        <v>127</v>
      </c>
      <c r="J220" s="53">
        <v>4</v>
      </c>
      <c r="K220" s="51" t="s">
        <v>133</v>
      </c>
      <c r="L220" s="51" t="s">
        <v>94</v>
      </c>
    </row>
    <row r="221" spans="1:12" hidden="1">
      <c r="A221" s="51" t="s">
        <v>138</v>
      </c>
      <c r="B221" s="52">
        <v>0</v>
      </c>
      <c r="C221" s="52">
        <v>10099</v>
      </c>
      <c r="D221" s="53">
        <v>16</v>
      </c>
      <c r="E221" s="51">
        <v>108</v>
      </c>
      <c r="F221" s="51" t="s">
        <v>91</v>
      </c>
      <c r="G221" s="51" t="s">
        <v>126</v>
      </c>
      <c r="H221" s="53">
        <v>22</v>
      </c>
      <c r="I221" s="51" t="s">
        <v>135</v>
      </c>
      <c r="J221" s="53">
        <v>4</v>
      </c>
      <c r="K221" s="51" t="s">
        <v>131</v>
      </c>
      <c r="L221" s="51" t="s">
        <v>101</v>
      </c>
    </row>
    <row r="222" spans="1:12" hidden="1">
      <c r="A222" s="51" t="s">
        <v>138</v>
      </c>
      <c r="B222" s="52">
        <v>0</v>
      </c>
      <c r="C222" s="52">
        <v>13428</v>
      </c>
      <c r="D222" s="53">
        <v>7</v>
      </c>
      <c r="E222" s="51">
        <v>0</v>
      </c>
      <c r="F222" s="51" t="s">
        <v>96</v>
      </c>
      <c r="G222" s="51" t="s">
        <v>130</v>
      </c>
      <c r="H222" s="53">
        <v>22</v>
      </c>
      <c r="I222" s="51" t="s">
        <v>135</v>
      </c>
      <c r="J222" s="53">
        <v>2</v>
      </c>
      <c r="K222" s="51" t="s">
        <v>140</v>
      </c>
      <c r="L222" s="51" t="s">
        <v>101</v>
      </c>
    </row>
    <row r="223" spans="1:12" hidden="1">
      <c r="A223" s="51" t="s">
        <v>125</v>
      </c>
      <c r="B223" s="52">
        <v>0</v>
      </c>
      <c r="C223" s="52">
        <v>208</v>
      </c>
      <c r="D223" s="53">
        <v>13</v>
      </c>
      <c r="E223" s="51">
        <v>23</v>
      </c>
      <c r="F223" s="51" t="s">
        <v>91</v>
      </c>
      <c r="G223" s="51" t="s">
        <v>126</v>
      </c>
      <c r="H223" s="53">
        <v>51</v>
      </c>
      <c r="I223" s="51" t="s">
        <v>127</v>
      </c>
      <c r="J223" s="53">
        <v>4</v>
      </c>
      <c r="K223" s="51" t="s">
        <v>131</v>
      </c>
      <c r="L223" s="51" t="s">
        <v>101</v>
      </c>
    </row>
    <row r="224" spans="1:12" hidden="1">
      <c r="A224" s="51" t="s">
        <v>125</v>
      </c>
      <c r="B224" s="52">
        <v>0</v>
      </c>
      <c r="C224" s="52">
        <v>552</v>
      </c>
      <c r="D224" s="53">
        <v>13</v>
      </c>
      <c r="E224" s="51">
        <v>15</v>
      </c>
      <c r="F224" s="51" t="s">
        <v>96</v>
      </c>
      <c r="G224" s="51" t="s">
        <v>130</v>
      </c>
      <c r="H224" s="53">
        <v>23</v>
      </c>
      <c r="I224" s="51" t="s">
        <v>127</v>
      </c>
      <c r="J224" s="53">
        <v>4</v>
      </c>
      <c r="K224" s="51" t="s">
        <v>128</v>
      </c>
      <c r="L224" s="51" t="s">
        <v>94</v>
      </c>
    </row>
    <row r="225" spans="1:12" hidden="1">
      <c r="A225" s="51" t="s">
        <v>134</v>
      </c>
      <c r="B225" s="52">
        <v>0</v>
      </c>
      <c r="C225" s="52">
        <v>3105</v>
      </c>
      <c r="D225" s="53">
        <v>16</v>
      </c>
      <c r="E225" s="51">
        <v>19</v>
      </c>
      <c r="F225" s="51" t="s">
        <v>96</v>
      </c>
      <c r="G225" s="51" t="s">
        <v>130</v>
      </c>
      <c r="H225" s="53">
        <v>30</v>
      </c>
      <c r="I225" s="51" t="s">
        <v>127</v>
      </c>
      <c r="J225" s="53">
        <v>3</v>
      </c>
      <c r="K225" s="51" t="s">
        <v>131</v>
      </c>
      <c r="L225" s="51" t="s">
        <v>101</v>
      </c>
    </row>
    <row r="226" spans="1:12" hidden="1">
      <c r="A226" s="51" t="s">
        <v>125</v>
      </c>
      <c r="B226" s="52">
        <v>483</v>
      </c>
      <c r="C226" s="52">
        <v>415</v>
      </c>
      <c r="D226" s="53">
        <v>19</v>
      </c>
      <c r="E226" s="51">
        <v>6</v>
      </c>
      <c r="F226" s="51" t="s">
        <v>91</v>
      </c>
      <c r="G226" s="51" t="s">
        <v>136</v>
      </c>
      <c r="H226" s="53">
        <v>32</v>
      </c>
      <c r="I226" s="51" t="s">
        <v>127</v>
      </c>
      <c r="J226" s="53">
        <v>2</v>
      </c>
      <c r="K226" s="51" t="s">
        <v>131</v>
      </c>
      <c r="L226" s="51" t="s">
        <v>94</v>
      </c>
    </row>
    <row r="227" spans="1:12" hidden="1">
      <c r="A227" s="51" t="s">
        <v>142</v>
      </c>
      <c r="B227" s="52">
        <v>0</v>
      </c>
      <c r="C227" s="52">
        <v>1238</v>
      </c>
      <c r="D227" s="53">
        <v>13</v>
      </c>
      <c r="E227" s="51">
        <v>0</v>
      </c>
      <c r="F227" s="51" t="s">
        <v>96</v>
      </c>
      <c r="G227" s="51" t="s">
        <v>130</v>
      </c>
      <c r="H227" s="53">
        <v>21</v>
      </c>
      <c r="I227" s="51" t="s">
        <v>127</v>
      </c>
      <c r="J227" s="53">
        <v>3</v>
      </c>
      <c r="K227" s="51" t="s">
        <v>131</v>
      </c>
      <c r="L227" s="51" t="s">
        <v>94</v>
      </c>
    </row>
    <row r="228" spans="1:12" hidden="1">
      <c r="A228" s="51" t="s">
        <v>134</v>
      </c>
      <c r="B228" s="52">
        <v>0</v>
      </c>
      <c r="C228" s="52">
        <v>238</v>
      </c>
      <c r="D228" s="53">
        <v>13</v>
      </c>
      <c r="E228" s="51">
        <v>2</v>
      </c>
      <c r="F228" s="51" t="s">
        <v>96</v>
      </c>
      <c r="G228" s="51" t="s">
        <v>130</v>
      </c>
      <c r="H228" s="53">
        <v>52</v>
      </c>
      <c r="I228" s="51" t="s">
        <v>127</v>
      </c>
      <c r="J228" s="53">
        <v>4</v>
      </c>
      <c r="K228" s="51" t="s">
        <v>131</v>
      </c>
      <c r="L228" s="51" t="s">
        <v>94</v>
      </c>
    </row>
    <row r="229" spans="1:12" hidden="1">
      <c r="A229" s="51" t="s">
        <v>129</v>
      </c>
      <c r="B229" s="52">
        <v>0</v>
      </c>
      <c r="C229" s="52">
        <v>127</v>
      </c>
      <c r="D229" s="53">
        <v>31</v>
      </c>
      <c r="E229" s="51">
        <v>35</v>
      </c>
      <c r="F229" s="51" t="s">
        <v>96</v>
      </c>
      <c r="G229" s="51" t="s">
        <v>130</v>
      </c>
      <c r="H229" s="53">
        <v>22</v>
      </c>
      <c r="I229" s="51" t="s">
        <v>135</v>
      </c>
      <c r="J229" s="53">
        <v>4</v>
      </c>
      <c r="K229" s="51" t="s">
        <v>131</v>
      </c>
      <c r="L229" s="51" t="s">
        <v>94</v>
      </c>
    </row>
    <row r="230" spans="1:12" hidden="1">
      <c r="A230" s="51" t="s">
        <v>137</v>
      </c>
      <c r="B230" s="52">
        <v>663</v>
      </c>
      <c r="C230" s="52">
        <v>0</v>
      </c>
      <c r="D230" s="53">
        <v>19</v>
      </c>
      <c r="E230" s="51">
        <v>57</v>
      </c>
      <c r="F230" s="51" t="s">
        <v>91</v>
      </c>
      <c r="G230" s="51" t="s">
        <v>126</v>
      </c>
      <c r="H230" s="53">
        <v>41</v>
      </c>
      <c r="I230" s="51" t="s">
        <v>127</v>
      </c>
      <c r="J230" s="53">
        <v>2</v>
      </c>
      <c r="K230" s="51" t="s">
        <v>131</v>
      </c>
      <c r="L230" s="51" t="s">
        <v>101</v>
      </c>
    </row>
    <row r="231" spans="1:12" hidden="1">
      <c r="A231" s="51" t="s">
        <v>132</v>
      </c>
      <c r="B231" s="52">
        <v>624</v>
      </c>
      <c r="C231" s="52">
        <v>785</v>
      </c>
      <c r="D231" s="53">
        <v>37</v>
      </c>
      <c r="E231" s="51">
        <v>9</v>
      </c>
      <c r="F231" s="51" t="s">
        <v>96</v>
      </c>
      <c r="G231" s="51" t="s">
        <v>130</v>
      </c>
      <c r="H231" s="53">
        <v>53</v>
      </c>
      <c r="I231" s="51" t="s">
        <v>135</v>
      </c>
      <c r="J231" s="53">
        <v>2</v>
      </c>
      <c r="K231" s="51" t="s">
        <v>131</v>
      </c>
      <c r="L231" s="51" t="s">
        <v>101</v>
      </c>
    </row>
    <row r="232" spans="1:12" hidden="1">
      <c r="A232" s="51" t="s">
        <v>139</v>
      </c>
      <c r="B232" s="52">
        <v>0</v>
      </c>
      <c r="C232" s="52">
        <v>718</v>
      </c>
      <c r="D232" s="53">
        <v>19</v>
      </c>
      <c r="E232" s="51">
        <v>0</v>
      </c>
      <c r="F232" s="51" t="s">
        <v>96</v>
      </c>
      <c r="G232" s="51" t="s">
        <v>130</v>
      </c>
      <c r="H232" s="53">
        <v>54</v>
      </c>
      <c r="I232" s="51" t="s">
        <v>97</v>
      </c>
      <c r="J232" s="53">
        <v>4</v>
      </c>
      <c r="K232" s="51" t="s">
        <v>140</v>
      </c>
      <c r="L232" s="51" t="s">
        <v>94</v>
      </c>
    </row>
    <row r="233" spans="1:12" hidden="1">
      <c r="A233" s="51" t="s">
        <v>129</v>
      </c>
      <c r="B233" s="52">
        <v>0</v>
      </c>
      <c r="C233" s="52">
        <v>493</v>
      </c>
      <c r="D233" s="53">
        <v>13</v>
      </c>
      <c r="E233" s="51">
        <v>21</v>
      </c>
      <c r="F233" s="51" t="s">
        <v>91</v>
      </c>
      <c r="G233" s="51" t="s">
        <v>126</v>
      </c>
      <c r="H233" s="53">
        <v>37</v>
      </c>
      <c r="I233" s="51" t="s">
        <v>127</v>
      </c>
      <c r="J233" s="53">
        <v>3</v>
      </c>
      <c r="K233" s="51" t="s">
        <v>128</v>
      </c>
      <c r="L233" s="51" t="s">
        <v>101</v>
      </c>
    </row>
    <row r="234" spans="1:12" hidden="1">
      <c r="A234" s="51" t="s">
        <v>125</v>
      </c>
      <c r="B234" s="52">
        <v>152</v>
      </c>
      <c r="C234" s="52">
        <v>757</v>
      </c>
      <c r="D234" s="53">
        <v>49</v>
      </c>
      <c r="E234" s="51">
        <v>45</v>
      </c>
      <c r="F234" s="51" t="s">
        <v>91</v>
      </c>
      <c r="G234" s="51" t="s">
        <v>126</v>
      </c>
      <c r="H234" s="53">
        <v>27</v>
      </c>
      <c r="I234" s="51" t="s">
        <v>127</v>
      </c>
      <c r="J234" s="53">
        <v>4</v>
      </c>
      <c r="K234" s="51" t="s">
        <v>131</v>
      </c>
      <c r="L234" s="51" t="s">
        <v>94</v>
      </c>
    </row>
    <row r="235" spans="1:12" hidden="1">
      <c r="A235" s="51" t="s">
        <v>132</v>
      </c>
      <c r="B235" s="52">
        <v>0</v>
      </c>
      <c r="C235" s="52">
        <v>9125</v>
      </c>
      <c r="D235" s="53">
        <v>13</v>
      </c>
      <c r="E235" s="51">
        <v>24</v>
      </c>
      <c r="F235" s="51" t="s">
        <v>96</v>
      </c>
      <c r="G235" s="51" t="s">
        <v>130</v>
      </c>
      <c r="H235" s="53">
        <v>25</v>
      </c>
      <c r="I235" s="51" t="s">
        <v>127</v>
      </c>
      <c r="J235" s="53">
        <v>2</v>
      </c>
      <c r="K235" s="51" t="s">
        <v>131</v>
      </c>
      <c r="L235" s="51" t="s">
        <v>94</v>
      </c>
    </row>
    <row r="236" spans="1:12" hidden="1">
      <c r="A236" s="51" t="s">
        <v>125</v>
      </c>
      <c r="B236" s="52">
        <v>0</v>
      </c>
      <c r="C236" s="52">
        <v>364</v>
      </c>
      <c r="D236" s="53">
        <v>13</v>
      </c>
      <c r="E236" s="51">
        <v>12</v>
      </c>
      <c r="F236" s="51" t="s">
        <v>96</v>
      </c>
      <c r="G236" s="51" t="s">
        <v>130</v>
      </c>
      <c r="H236" s="53">
        <v>34</v>
      </c>
      <c r="I236" s="51" t="s">
        <v>127</v>
      </c>
      <c r="J236" s="53">
        <v>2</v>
      </c>
      <c r="K236" s="51" t="s">
        <v>131</v>
      </c>
      <c r="L236" s="51" t="s">
        <v>101</v>
      </c>
    </row>
    <row r="237" spans="1:12" hidden="1">
      <c r="A237" s="51" t="s">
        <v>137</v>
      </c>
      <c r="B237" s="52">
        <v>498</v>
      </c>
      <c r="C237" s="52">
        <v>598</v>
      </c>
      <c r="D237" s="53">
        <v>37</v>
      </c>
      <c r="E237" s="51">
        <v>14</v>
      </c>
      <c r="F237" s="51" t="s">
        <v>91</v>
      </c>
      <c r="G237" s="51" t="s">
        <v>130</v>
      </c>
      <c r="H237" s="53">
        <v>29</v>
      </c>
      <c r="I237" s="51" t="s">
        <v>127</v>
      </c>
      <c r="J237" s="53">
        <v>2</v>
      </c>
      <c r="K237" s="51" t="s">
        <v>133</v>
      </c>
      <c r="L237" s="51" t="s">
        <v>94</v>
      </c>
    </row>
    <row r="238" spans="1:12" hidden="1">
      <c r="A238" s="51" t="s">
        <v>132</v>
      </c>
      <c r="B238" s="52">
        <v>0</v>
      </c>
      <c r="C238" s="52">
        <v>374</v>
      </c>
      <c r="D238" s="53">
        <v>10</v>
      </c>
      <c r="E238" s="51">
        <v>19</v>
      </c>
      <c r="F238" s="51" t="s">
        <v>91</v>
      </c>
      <c r="G238" s="51" t="s">
        <v>126</v>
      </c>
      <c r="H238" s="53">
        <v>27</v>
      </c>
      <c r="I238" s="51" t="s">
        <v>127</v>
      </c>
      <c r="J238" s="53">
        <v>3</v>
      </c>
      <c r="K238" s="51" t="s">
        <v>128</v>
      </c>
      <c r="L238" s="51" t="s">
        <v>94</v>
      </c>
    </row>
    <row r="239" spans="1:12" hidden="1">
      <c r="A239" s="51" t="s">
        <v>125</v>
      </c>
      <c r="B239" s="52">
        <v>156</v>
      </c>
      <c r="C239" s="52">
        <v>0</v>
      </c>
      <c r="D239" s="53">
        <v>13</v>
      </c>
      <c r="E239" s="51">
        <v>58</v>
      </c>
      <c r="F239" s="51" t="s">
        <v>96</v>
      </c>
      <c r="G239" s="51" t="s">
        <v>130</v>
      </c>
      <c r="H239" s="53">
        <v>32</v>
      </c>
      <c r="I239" s="51" t="s">
        <v>127</v>
      </c>
      <c r="J239" s="53">
        <v>3</v>
      </c>
      <c r="K239" s="51" t="s">
        <v>128</v>
      </c>
      <c r="L239" s="51" t="s">
        <v>94</v>
      </c>
    </row>
    <row r="240" spans="1:12" hidden="1">
      <c r="A240" s="51" t="s">
        <v>138</v>
      </c>
      <c r="B240" s="52">
        <v>1336</v>
      </c>
      <c r="C240" s="52">
        <v>0</v>
      </c>
      <c r="D240" s="53">
        <v>37</v>
      </c>
      <c r="E240" s="51">
        <v>11</v>
      </c>
      <c r="F240" s="51" t="s">
        <v>91</v>
      </c>
      <c r="G240" s="51" t="s">
        <v>126</v>
      </c>
      <c r="H240" s="53">
        <v>29</v>
      </c>
      <c r="I240" s="51" t="s">
        <v>127</v>
      </c>
      <c r="J240" s="53">
        <v>2</v>
      </c>
      <c r="K240" s="51" t="s">
        <v>133</v>
      </c>
      <c r="L240" s="51" t="s">
        <v>101</v>
      </c>
    </row>
    <row r="241" spans="1:12" hidden="1">
      <c r="A241" s="51" t="s">
        <v>132</v>
      </c>
      <c r="B241" s="52">
        <v>0</v>
      </c>
      <c r="C241" s="52">
        <v>508</v>
      </c>
      <c r="D241" s="53">
        <v>13</v>
      </c>
      <c r="E241" s="51">
        <v>3</v>
      </c>
      <c r="F241" s="51" t="s">
        <v>91</v>
      </c>
      <c r="G241" s="51" t="s">
        <v>126</v>
      </c>
      <c r="H241" s="53">
        <v>32</v>
      </c>
      <c r="I241" s="51" t="s">
        <v>127</v>
      </c>
      <c r="J241" s="53">
        <v>1</v>
      </c>
      <c r="K241" s="51" t="s">
        <v>128</v>
      </c>
      <c r="L241" s="51" t="s">
        <v>94</v>
      </c>
    </row>
    <row r="242" spans="1:12" hidden="1">
      <c r="A242" s="51" t="s">
        <v>125</v>
      </c>
      <c r="B242" s="52">
        <v>0</v>
      </c>
      <c r="C242" s="52">
        <v>956</v>
      </c>
      <c r="D242" s="53">
        <v>25</v>
      </c>
      <c r="E242" s="51">
        <v>4</v>
      </c>
      <c r="F242" s="51" t="s">
        <v>96</v>
      </c>
      <c r="G242" s="51" t="s">
        <v>130</v>
      </c>
      <c r="H242" s="53">
        <v>28</v>
      </c>
      <c r="I242" s="51" t="s">
        <v>135</v>
      </c>
      <c r="J242" s="53">
        <v>2</v>
      </c>
      <c r="K242" s="51" t="s">
        <v>128</v>
      </c>
      <c r="L242" s="51" t="s">
        <v>94</v>
      </c>
    </row>
    <row r="243" spans="1:12" hidden="1">
      <c r="A243" s="51" t="s">
        <v>129</v>
      </c>
      <c r="B243" s="52">
        <v>0</v>
      </c>
      <c r="C243" s="52">
        <v>636</v>
      </c>
      <c r="D243" s="53">
        <v>22</v>
      </c>
      <c r="E243" s="51">
        <v>41</v>
      </c>
      <c r="F243" s="51" t="s">
        <v>96</v>
      </c>
      <c r="G243" s="51" t="s">
        <v>130</v>
      </c>
      <c r="H243" s="53">
        <v>25</v>
      </c>
      <c r="I243" s="51" t="s">
        <v>135</v>
      </c>
      <c r="J243" s="53">
        <v>4</v>
      </c>
      <c r="K243" s="51" t="s">
        <v>128</v>
      </c>
      <c r="L243" s="51" t="s">
        <v>101</v>
      </c>
    </row>
    <row r="244" spans="1:12" hidden="1">
      <c r="A244" s="51" t="s">
        <v>132</v>
      </c>
      <c r="B244" s="52">
        <v>2641</v>
      </c>
      <c r="C244" s="52">
        <v>0</v>
      </c>
      <c r="D244" s="53">
        <v>13</v>
      </c>
      <c r="E244" s="51">
        <v>71</v>
      </c>
      <c r="F244" s="51" t="s">
        <v>96</v>
      </c>
      <c r="G244" s="51" t="s">
        <v>130</v>
      </c>
      <c r="H244" s="53">
        <v>51</v>
      </c>
      <c r="I244" s="51" t="s">
        <v>97</v>
      </c>
      <c r="J244" s="53">
        <v>4</v>
      </c>
      <c r="K244" s="51" t="s">
        <v>133</v>
      </c>
      <c r="L244" s="51" t="s">
        <v>101</v>
      </c>
    </row>
    <row r="245" spans="1:12" hidden="1">
      <c r="A245" s="51" t="s">
        <v>138</v>
      </c>
      <c r="B245" s="52">
        <v>0</v>
      </c>
      <c r="C245" s="52">
        <v>1519</v>
      </c>
      <c r="D245" s="53">
        <v>40</v>
      </c>
      <c r="E245" s="51">
        <v>74</v>
      </c>
      <c r="F245" s="51" t="s">
        <v>91</v>
      </c>
      <c r="G245" s="51" t="s">
        <v>126</v>
      </c>
      <c r="H245" s="53">
        <v>44</v>
      </c>
      <c r="I245" s="51" t="s">
        <v>127</v>
      </c>
      <c r="J245" s="53">
        <v>2</v>
      </c>
      <c r="K245" s="51" t="s">
        <v>133</v>
      </c>
      <c r="L245" s="51" t="s">
        <v>101</v>
      </c>
    </row>
    <row r="246" spans="1:12" hidden="1">
      <c r="A246" s="51" t="s">
        <v>137</v>
      </c>
      <c r="B246" s="52">
        <v>0</v>
      </c>
      <c r="C246" s="52">
        <v>922</v>
      </c>
      <c r="D246" s="53">
        <v>19</v>
      </c>
      <c r="E246" s="51">
        <v>29</v>
      </c>
      <c r="F246" s="51" t="s">
        <v>91</v>
      </c>
      <c r="G246" s="51" t="s">
        <v>126</v>
      </c>
      <c r="H246" s="53">
        <v>33</v>
      </c>
      <c r="I246" s="51" t="s">
        <v>127</v>
      </c>
      <c r="J246" s="53">
        <v>1</v>
      </c>
      <c r="K246" s="51" t="s">
        <v>131</v>
      </c>
      <c r="L246" s="51" t="s">
        <v>101</v>
      </c>
    </row>
    <row r="247" spans="1:12" hidden="1">
      <c r="A247" s="51" t="s">
        <v>129</v>
      </c>
      <c r="B247" s="52">
        <v>0</v>
      </c>
      <c r="C247" s="52">
        <v>180</v>
      </c>
      <c r="D247" s="53">
        <v>5</v>
      </c>
      <c r="E247" s="51">
        <v>2</v>
      </c>
      <c r="F247" s="51" t="s">
        <v>96</v>
      </c>
      <c r="G247" s="51" t="s">
        <v>130</v>
      </c>
      <c r="H247" s="53">
        <v>22</v>
      </c>
      <c r="I247" s="51" t="s">
        <v>135</v>
      </c>
      <c r="J247" s="53">
        <v>3</v>
      </c>
      <c r="K247" s="51" t="s">
        <v>128</v>
      </c>
      <c r="L247" s="51" t="s">
        <v>101</v>
      </c>
    </row>
    <row r="248" spans="1:12" hidden="1">
      <c r="A248" s="51" t="s">
        <v>138</v>
      </c>
      <c r="B248" s="52">
        <v>0</v>
      </c>
      <c r="C248" s="52">
        <v>701</v>
      </c>
      <c r="D248" s="53">
        <v>22</v>
      </c>
      <c r="E248" s="51">
        <v>108</v>
      </c>
      <c r="F248" s="51" t="s">
        <v>91</v>
      </c>
      <c r="G248" s="51" t="s">
        <v>126</v>
      </c>
      <c r="H248" s="53">
        <v>35</v>
      </c>
      <c r="I248" s="51" t="s">
        <v>127</v>
      </c>
      <c r="J248" s="53">
        <v>4</v>
      </c>
      <c r="K248" s="51" t="s">
        <v>133</v>
      </c>
      <c r="L248" s="51" t="s">
        <v>101</v>
      </c>
    </row>
    <row r="249" spans="1:12" hidden="1">
      <c r="A249" s="51" t="s">
        <v>125</v>
      </c>
      <c r="B249" s="52">
        <v>0</v>
      </c>
      <c r="C249" s="52">
        <v>296</v>
      </c>
      <c r="D249" s="53">
        <v>16</v>
      </c>
      <c r="E249" s="51">
        <v>8</v>
      </c>
      <c r="F249" s="51" t="s">
        <v>91</v>
      </c>
      <c r="G249" s="51" t="s">
        <v>126</v>
      </c>
      <c r="H249" s="53">
        <v>30</v>
      </c>
      <c r="I249" s="51" t="s">
        <v>127</v>
      </c>
      <c r="J249" s="53">
        <v>2</v>
      </c>
      <c r="K249" s="51" t="s">
        <v>131</v>
      </c>
      <c r="L249" s="51" t="s">
        <v>101</v>
      </c>
    </row>
    <row r="250" spans="1:12" hidden="1">
      <c r="A250" s="51" t="s">
        <v>125</v>
      </c>
      <c r="B250" s="52">
        <v>887</v>
      </c>
      <c r="C250" s="52">
        <v>519</v>
      </c>
      <c r="D250" s="53">
        <v>7</v>
      </c>
      <c r="E250" s="51">
        <v>42</v>
      </c>
      <c r="F250" s="51" t="s">
        <v>91</v>
      </c>
      <c r="G250" s="51" t="s">
        <v>136</v>
      </c>
      <c r="H250" s="53">
        <v>27</v>
      </c>
      <c r="I250" s="51" t="s">
        <v>127</v>
      </c>
      <c r="J250" s="53">
        <v>3</v>
      </c>
      <c r="K250" s="51" t="s">
        <v>128</v>
      </c>
      <c r="L250" s="51" t="s">
        <v>101</v>
      </c>
    </row>
    <row r="251" spans="1:12" hidden="1">
      <c r="A251" s="51" t="s">
        <v>137</v>
      </c>
      <c r="B251" s="52">
        <v>0</v>
      </c>
      <c r="C251" s="52">
        <v>800</v>
      </c>
      <c r="D251" s="53">
        <v>49</v>
      </c>
      <c r="E251" s="51">
        <v>2</v>
      </c>
      <c r="F251" s="51" t="s">
        <v>96</v>
      </c>
      <c r="G251" s="51" t="s">
        <v>130</v>
      </c>
      <c r="H251" s="53">
        <v>23</v>
      </c>
      <c r="I251" s="51" t="s">
        <v>135</v>
      </c>
      <c r="J251" s="53">
        <v>4</v>
      </c>
      <c r="K251" s="51" t="s">
        <v>131</v>
      </c>
      <c r="L251" s="51" t="s">
        <v>94</v>
      </c>
    </row>
    <row r="252" spans="1:12" hidden="1">
      <c r="A252" s="51" t="s">
        <v>129</v>
      </c>
      <c r="B252" s="52">
        <v>0</v>
      </c>
      <c r="C252" s="52">
        <v>736</v>
      </c>
      <c r="D252" s="53">
        <v>13</v>
      </c>
      <c r="E252" s="51">
        <v>6</v>
      </c>
      <c r="F252" s="51" t="s">
        <v>96</v>
      </c>
      <c r="G252" s="51" t="s">
        <v>130</v>
      </c>
      <c r="H252" s="53">
        <v>19</v>
      </c>
      <c r="I252" s="51" t="s">
        <v>135</v>
      </c>
      <c r="J252" s="53">
        <v>4</v>
      </c>
      <c r="K252" s="51" t="s">
        <v>131</v>
      </c>
      <c r="L252" s="51" t="s">
        <v>94</v>
      </c>
    </row>
    <row r="253" spans="1:12" hidden="1">
      <c r="A253" s="51" t="s">
        <v>125</v>
      </c>
      <c r="B253" s="52">
        <v>0</v>
      </c>
      <c r="C253" s="52">
        <v>11838</v>
      </c>
      <c r="D253" s="53">
        <v>7</v>
      </c>
      <c r="E253" s="51">
        <v>70</v>
      </c>
      <c r="F253" s="51" t="s">
        <v>91</v>
      </c>
      <c r="G253" s="51" t="s">
        <v>126</v>
      </c>
      <c r="H253" s="53">
        <v>44</v>
      </c>
      <c r="I253" s="51" t="s">
        <v>127</v>
      </c>
      <c r="J253" s="53">
        <v>4</v>
      </c>
      <c r="K253" s="51" t="s">
        <v>128</v>
      </c>
      <c r="L253" s="51" t="s">
        <v>101</v>
      </c>
    </row>
    <row r="254" spans="1:12" hidden="1">
      <c r="A254" s="51" t="s">
        <v>125</v>
      </c>
      <c r="B254" s="52">
        <v>0</v>
      </c>
      <c r="C254" s="52">
        <v>364</v>
      </c>
      <c r="D254" s="53">
        <v>5</v>
      </c>
      <c r="E254" s="51">
        <v>35</v>
      </c>
      <c r="F254" s="51" t="s">
        <v>91</v>
      </c>
      <c r="G254" s="51" t="s">
        <v>126</v>
      </c>
      <c r="H254" s="53">
        <v>41</v>
      </c>
      <c r="I254" s="51" t="s">
        <v>127</v>
      </c>
      <c r="J254" s="53">
        <v>1</v>
      </c>
      <c r="K254" s="51" t="s">
        <v>128</v>
      </c>
      <c r="L254" s="51" t="s">
        <v>101</v>
      </c>
    </row>
    <row r="255" spans="1:12" hidden="1">
      <c r="A255" s="51" t="s">
        <v>132</v>
      </c>
      <c r="B255" s="52">
        <v>18408</v>
      </c>
      <c r="C255" s="52">
        <v>212</v>
      </c>
      <c r="D255" s="53">
        <v>13</v>
      </c>
      <c r="E255" s="51">
        <v>9</v>
      </c>
      <c r="F255" s="51" t="s">
        <v>96</v>
      </c>
      <c r="G255" s="51" t="s">
        <v>130</v>
      </c>
      <c r="H255" s="53">
        <v>35</v>
      </c>
      <c r="I255" s="51" t="s">
        <v>127</v>
      </c>
      <c r="J255" s="53">
        <v>2</v>
      </c>
      <c r="K255" s="51" t="s">
        <v>131</v>
      </c>
      <c r="L255" s="51" t="s">
        <v>101</v>
      </c>
    </row>
    <row r="256" spans="1:12" hidden="1">
      <c r="A256" s="51" t="s">
        <v>132</v>
      </c>
      <c r="B256" s="52">
        <v>497</v>
      </c>
      <c r="C256" s="52">
        <v>888</v>
      </c>
      <c r="D256" s="53">
        <v>16</v>
      </c>
      <c r="E256" s="51">
        <v>3</v>
      </c>
      <c r="F256" s="51" t="s">
        <v>96</v>
      </c>
      <c r="G256" s="51" t="s">
        <v>130</v>
      </c>
      <c r="H256" s="53">
        <v>25</v>
      </c>
      <c r="I256" s="51" t="s">
        <v>135</v>
      </c>
      <c r="J256" s="53">
        <v>1</v>
      </c>
      <c r="K256" s="51" t="s">
        <v>140</v>
      </c>
      <c r="L256" s="51" t="s">
        <v>94</v>
      </c>
    </row>
    <row r="257" spans="1:12" hidden="1">
      <c r="A257" s="51" t="s">
        <v>138</v>
      </c>
      <c r="B257" s="52">
        <v>0</v>
      </c>
      <c r="C257" s="52">
        <v>999</v>
      </c>
      <c r="D257" s="53">
        <v>25</v>
      </c>
      <c r="E257" s="51">
        <v>0</v>
      </c>
      <c r="F257" s="51" t="s">
        <v>91</v>
      </c>
      <c r="G257" s="51" t="s">
        <v>126</v>
      </c>
      <c r="H257" s="53">
        <v>28</v>
      </c>
      <c r="I257" s="51" t="s">
        <v>97</v>
      </c>
      <c r="J257" s="53">
        <v>2</v>
      </c>
      <c r="K257" s="51" t="s">
        <v>133</v>
      </c>
      <c r="L257" s="51" t="s">
        <v>101</v>
      </c>
    </row>
    <row r="258" spans="1:12" hidden="1">
      <c r="A258" s="51" t="s">
        <v>125</v>
      </c>
      <c r="B258" s="52">
        <v>946</v>
      </c>
      <c r="C258" s="52">
        <v>0</v>
      </c>
      <c r="D258" s="53">
        <v>16</v>
      </c>
      <c r="E258" s="51">
        <v>83</v>
      </c>
      <c r="F258" s="51" t="s">
        <v>91</v>
      </c>
      <c r="G258" s="51" t="s">
        <v>126</v>
      </c>
      <c r="H258" s="53">
        <v>34</v>
      </c>
      <c r="I258" s="51" t="s">
        <v>127</v>
      </c>
      <c r="J258" s="53">
        <v>2</v>
      </c>
      <c r="K258" s="51" t="s">
        <v>131</v>
      </c>
      <c r="L258" s="51" t="s">
        <v>101</v>
      </c>
    </row>
    <row r="259" spans="1:12" hidden="1">
      <c r="A259" s="51" t="s">
        <v>137</v>
      </c>
      <c r="B259" s="52">
        <v>986</v>
      </c>
      <c r="C259" s="52">
        <v>578</v>
      </c>
      <c r="D259" s="53">
        <v>28</v>
      </c>
      <c r="E259" s="51">
        <v>1</v>
      </c>
      <c r="F259" s="51" t="s">
        <v>96</v>
      </c>
      <c r="G259" s="51" t="s">
        <v>130</v>
      </c>
      <c r="H259" s="53">
        <v>31</v>
      </c>
      <c r="I259" s="51" t="s">
        <v>127</v>
      </c>
      <c r="J259" s="53">
        <v>1</v>
      </c>
      <c r="K259" s="51" t="s">
        <v>131</v>
      </c>
      <c r="L259" s="51" t="s">
        <v>101</v>
      </c>
    </row>
    <row r="260" spans="1:12" hidden="1">
      <c r="A260" s="51" t="s">
        <v>134</v>
      </c>
      <c r="B260" s="52">
        <v>8122</v>
      </c>
      <c r="C260" s="52">
        <v>136</v>
      </c>
      <c r="D260" s="53">
        <v>22</v>
      </c>
      <c r="E260" s="51">
        <v>4</v>
      </c>
      <c r="F260" s="51" t="s">
        <v>91</v>
      </c>
      <c r="G260" s="51" t="s">
        <v>130</v>
      </c>
      <c r="H260" s="53">
        <v>32</v>
      </c>
      <c r="I260" s="51" t="s">
        <v>135</v>
      </c>
      <c r="J260" s="53">
        <v>1</v>
      </c>
      <c r="K260" s="51" t="s">
        <v>131</v>
      </c>
      <c r="L260" s="51" t="s">
        <v>94</v>
      </c>
    </row>
    <row r="261" spans="1:12" hidden="1">
      <c r="A261" s="51" t="s">
        <v>129</v>
      </c>
      <c r="B261" s="52">
        <v>0</v>
      </c>
      <c r="C261" s="52">
        <v>734</v>
      </c>
      <c r="D261" s="53">
        <v>37</v>
      </c>
      <c r="E261" s="51">
        <v>111</v>
      </c>
      <c r="F261" s="51" t="s">
        <v>91</v>
      </c>
      <c r="G261" s="51" t="s">
        <v>126</v>
      </c>
      <c r="H261" s="53">
        <v>41</v>
      </c>
      <c r="I261" s="51" t="s">
        <v>127</v>
      </c>
      <c r="J261" s="53">
        <v>2</v>
      </c>
      <c r="K261" s="51" t="s">
        <v>131</v>
      </c>
      <c r="L261" s="51" t="s">
        <v>94</v>
      </c>
    </row>
    <row r="262" spans="1:12" hidden="1">
      <c r="A262" s="51" t="s">
        <v>137</v>
      </c>
      <c r="B262" s="52">
        <v>778</v>
      </c>
      <c r="C262" s="52">
        <v>861</v>
      </c>
      <c r="D262" s="53">
        <v>49</v>
      </c>
      <c r="E262" s="51">
        <v>21</v>
      </c>
      <c r="F262" s="51" t="s">
        <v>91</v>
      </c>
      <c r="G262" s="51" t="s">
        <v>126</v>
      </c>
      <c r="H262" s="53">
        <v>22</v>
      </c>
      <c r="I262" s="51" t="s">
        <v>127</v>
      </c>
      <c r="J262" s="53">
        <v>2</v>
      </c>
      <c r="K262" s="51" t="s">
        <v>131</v>
      </c>
      <c r="L262" s="51" t="s">
        <v>94</v>
      </c>
    </row>
    <row r="263" spans="1:12" hidden="1">
      <c r="A263" s="51" t="s">
        <v>97</v>
      </c>
      <c r="B263" s="52">
        <v>645</v>
      </c>
      <c r="C263" s="52">
        <v>855</v>
      </c>
      <c r="D263" s="53">
        <v>25</v>
      </c>
      <c r="E263" s="51">
        <v>17</v>
      </c>
      <c r="F263" s="51" t="s">
        <v>91</v>
      </c>
      <c r="G263" s="51" t="s">
        <v>126</v>
      </c>
      <c r="H263" s="53">
        <v>28</v>
      </c>
      <c r="I263" s="51" t="s">
        <v>127</v>
      </c>
      <c r="J263" s="53">
        <v>3</v>
      </c>
      <c r="K263" s="51" t="s">
        <v>133</v>
      </c>
      <c r="L263" s="51" t="s">
        <v>94</v>
      </c>
    </row>
    <row r="264" spans="1:12" hidden="1">
      <c r="A264" s="51" t="s">
        <v>129</v>
      </c>
      <c r="B264" s="52">
        <v>0</v>
      </c>
      <c r="C264" s="52">
        <v>4486</v>
      </c>
      <c r="D264" s="53">
        <v>10</v>
      </c>
      <c r="E264" s="51">
        <v>3</v>
      </c>
      <c r="F264" s="51" t="s">
        <v>96</v>
      </c>
      <c r="G264" s="51" t="s">
        <v>130</v>
      </c>
      <c r="H264" s="53">
        <v>21</v>
      </c>
      <c r="I264" s="51" t="s">
        <v>135</v>
      </c>
      <c r="J264" s="53">
        <v>4</v>
      </c>
      <c r="K264" s="51" t="s">
        <v>131</v>
      </c>
      <c r="L264" s="51" t="s">
        <v>101</v>
      </c>
    </row>
    <row r="265" spans="1:12" hidden="1">
      <c r="A265" s="51" t="s">
        <v>132</v>
      </c>
      <c r="B265" s="52">
        <v>682</v>
      </c>
      <c r="C265" s="52">
        <v>2017</v>
      </c>
      <c r="D265" s="53">
        <v>37</v>
      </c>
      <c r="E265" s="51">
        <v>85</v>
      </c>
      <c r="F265" s="51" t="s">
        <v>91</v>
      </c>
      <c r="G265" s="51" t="s">
        <v>126</v>
      </c>
      <c r="H265" s="53">
        <v>41</v>
      </c>
      <c r="I265" s="51" t="s">
        <v>127</v>
      </c>
      <c r="J265" s="53">
        <v>4</v>
      </c>
      <c r="K265" s="51" t="s">
        <v>133</v>
      </c>
      <c r="L265" s="51" t="s">
        <v>94</v>
      </c>
    </row>
    <row r="266" spans="1:12" hidden="1">
      <c r="A266" s="51" t="s">
        <v>132</v>
      </c>
      <c r="B266" s="52">
        <v>19812</v>
      </c>
      <c r="C266" s="52">
        <v>0</v>
      </c>
      <c r="D266" s="53">
        <v>25</v>
      </c>
      <c r="E266" s="51">
        <v>37</v>
      </c>
      <c r="F266" s="51" t="s">
        <v>91</v>
      </c>
      <c r="G266" s="51" t="s">
        <v>126</v>
      </c>
      <c r="H266" s="53">
        <v>36</v>
      </c>
      <c r="I266" s="51" t="s">
        <v>127</v>
      </c>
      <c r="J266" s="53">
        <v>2</v>
      </c>
      <c r="K266" s="51" t="s">
        <v>128</v>
      </c>
      <c r="L266" s="51" t="s">
        <v>94</v>
      </c>
    </row>
    <row r="267" spans="1:12" hidden="1">
      <c r="A267" s="51" t="s">
        <v>137</v>
      </c>
      <c r="B267" s="52">
        <v>0</v>
      </c>
      <c r="C267" s="52">
        <v>500</v>
      </c>
      <c r="D267" s="53">
        <v>25</v>
      </c>
      <c r="E267" s="51">
        <v>1</v>
      </c>
      <c r="F267" s="51" t="s">
        <v>91</v>
      </c>
      <c r="G267" s="51" t="s">
        <v>126</v>
      </c>
      <c r="H267" s="53">
        <v>26</v>
      </c>
      <c r="I267" s="51" t="s">
        <v>127</v>
      </c>
      <c r="J267" s="53">
        <v>2</v>
      </c>
      <c r="K267" s="51" t="s">
        <v>131</v>
      </c>
      <c r="L267" s="51" t="s">
        <v>94</v>
      </c>
    </row>
    <row r="268" spans="1:12" hidden="1">
      <c r="A268" s="51" t="s">
        <v>138</v>
      </c>
      <c r="B268" s="52">
        <v>0</v>
      </c>
      <c r="C268" s="52">
        <v>859</v>
      </c>
      <c r="D268" s="53">
        <v>31</v>
      </c>
      <c r="E268" s="51">
        <v>89</v>
      </c>
      <c r="F268" s="51" t="s">
        <v>91</v>
      </c>
      <c r="G268" s="51" t="s">
        <v>126</v>
      </c>
      <c r="H268" s="53">
        <v>37</v>
      </c>
      <c r="I268" s="51" t="s">
        <v>97</v>
      </c>
      <c r="J268" s="53">
        <v>4</v>
      </c>
      <c r="K268" s="51" t="s">
        <v>133</v>
      </c>
      <c r="L268" s="51" t="s">
        <v>101</v>
      </c>
    </row>
    <row r="269" spans="1:12" hidden="1">
      <c r="A269" s="51" t="s">
        <v>137</v>
      </c>
      <c r="B269" s="52">
        <v>859</v>
      </c>
      <c r="C269" s="52">
        <v>3305</v>
      </c>
      <c r="D269" s="53">
        <v>25</v>
      </c>
      <c r="E269" s="51">
        <v>26</v>
      </c>
      <c r="F269" s="51" t="s">
        <v>91</v>
      </c>
      <c r="G269" s="51" t="s">
        <v>126</v>
      </c>
      <c r="H269" s="53">
        <v>35</v>
      </c>
      <c r="I269" s="51" t="s">
        <v>135</v>
      </c>
      <c r="J269" s="53">
        <v>4</v>
      </c>
      <c r="K269" s="51" t="s">
        <v>133</v>
      </c>
      <c r="L269" s="51" t="s">
        <v>101</v>
      </c>
    </row>
    <row r="270" spans="1:12" hidden="1">
      <c r="A270" s="51" t="s">
        <v>125</v>
      </c>
      <c r="B270" s="52">
        <v>0</v>
      </c>
      <c r="C270" s="52">
        <v>1218</v>
      </c>
      <c r="D270" s="53">
        <v>13</v>
      </c>
      <c r="E270" s="51">
        <v>38</v>
      </c>
      <c r="F270" s="51" t="s">
        <v>91</v>
      </c>
      <c r="G270" s="51" t="s">
        <v>126</v>
      </c>
      <c r="H270" s="53">
        <v>34</v>
      </c>
      <c r="I270" s="51" t="s">
        <v>127</v>
      </c>
      <c r="J270" s="53">
        <v>1</v>
      </c>
      <c r="K270" s="51" t="s">
        <v>131</v>
      </c>
      <c r="L270" s="51" t="s">
        <v>101</v>
      </c>
    </row>
    <row r="271" spans="1:12" hidden="1">
      <c r="A271" s="51" t="s">
        <v>132</v>
      </c>
      <c r="B271" s="52">
        <v>0</v>
      </c>
      <c r="C271" s="52">
        <v>9016</v>
      </c>
      <c r="D271" s="53">
        <v>49</v>
      </c>
      <c r="E271" s="51">
        <v>22</v>
      </c>
      <c r="F271" s="51" t="s">
        <v>91</v>
      </c>
      <c r="G271" s="51" t="s">
        <v>126</v>
      </c>
      <c r="H271" s="53">
        <v>43</v>
      </c>
      <c r="I271" s="51" t="s">
        <v>97</v>
      </c>
      <c r="J271" s="53">
        <v>2</v>
      </c>
      <c r="K271" s="51" t="s">
        <v>131</v>
      </c>
      <c r="L271" s="51" t="s">
        <v>94</v>
      </c>
    </row>
    <row r="272" spans="1:12" hidden="1">
      <c r="A272" s="51" t="s">
        <v>132</v>
      </c>
      <c r="B272" s="52">
        <v>0</v>
      </c>
      <c r="C272" s="52">
        <v>11587</v>
      </c>
      <c r="D272" s="53">
        <v>22</v>
      </c>
      <c r="E272" s="51">
        <v>46</v>
      </c>
      <c r="F272" s="51" t="s">
        <v>96</v>
      </c>
      <c r="G272" s="51" t="s">
        <v>130</v>
      </c>
      <c r="H272" s="53">
        <v>30</v>
      </c>
      <c r="I272" s="51" t="s">
        <v>127</v>
      </c>
      <c r="J272" s="53">
        <v>2</v>
      </c>
      <c r="K272" s="51" t="s">
        <v>133</v>
      </c>
      <c r="L272" s="51" t="s">
        <v>101</v>
      </c>
    </row>
    <row r="273" spans="1:12" hidden="1">
      <c r="A273" s="51" t="s">
        <v>129</v>
      </c>
      <c r="B273" s="52">
        <v>0</v>
      </c>
      <c r="C273" s="52">
        <v>8944</v>
      </c>
      <c r="D273" s="53">
        <v>25</v>
      </c>
      <c r="E273" s="51">
        <v>66</v>
      </c>
      <c r="F273" s="51" t="s">
        <v>91</v>
      </c>
      <c r="G273" s="51" t="s">
        <v>126</v>
      </c>
      <c r="H273" s="53">
        <v>31</v>
      </c>
      <c r="I273" s="51" t="s">
        <v>135</v>
      </c>
      <c r="J273" s="53">
        <v>3</v>
      </c>
      <c r="K273" s="51" t="s">
        <v>131</v>
      </c>
      <c r="L273" s="51" t="s">
        <v>101</v>
      </c>
    </row>
    <row r="274" spans="1:12" hidden="1">
      <c r="A274" s="51" t="s">
        <v>139</v>
      </c>
      <c r="B274" s="52">
        <v>0</v>
      </c>
      <c r="C274" s="52">
        <v>807</v>
      </c>
      <c r="D274" s="53">
        <v>25</v>
      </c>
      <c r="E274" s="51">
        <v>75</v>
      </c>
      <c r="F274" s="51" t="s">
        <v>91</v>
      </c>
      <c r="G274" s="51" t="s">
        <v>126</v>
      </c>
      <c r="H274" s="53">
        <v>43</v>
      </c>
      <c r="I274" s="51" t="s">
        <v>97</v>
      </c>
      <c r="J274" s="53">
        <v>4</v>
      </c>
      <c r="K274" s="51" t="s">
        <v>131</v>
      </c>
      <c r="L274" s="51" t="s">
        <v>101</v>
      </c>
    </row>
    <row r="275" spans="1:12" hidden="1">
      <c r="A275" s="51" t="s">
        <v>125</v>
      </c>
      <c r="B275" s="52">
        <v>0</v>
      </c>
      <c r="C275" s="52">
        <v>867</v>
      </c>
      <c r="D275" s="53">
        <v>31</v>
      </c>
      <c r="E275" s="51">
        <v>27</v>
      </c>
      <c r="F275" s="51" t="s">
        <v>96</v>
      </c>
      <c r="G275" s="51" t="s">
        <v>130</v>
      </c>
      <c r="H275" s="53">
        <v>24</v>
      </c>
      <c r="I275" s="51" t="s">
        <v>127</v>
      </c>
      <c r="J275" s="53">
        <v>2</v>
      </c>
      <c r="K275" s="51" t="s">
        <v>131</v>
      </c>
      <c r="L275" s="51" t="s">
        <v>101</v>
      </c>
    </row>
    <row r="276" spans="1:12" hidden="1">
      <c r="A276" s="51" t="s">
        <v>125</v>
      </c>
      <c r="B276" s="52">
        <v>795</v>
      </c>
      <c r="C276" s="52">
        <v>16804</v>
      </c>
      <c r="D276" s="53">
        <v>49</v>
      </c>
      <c r="E276" s="51">
        <v>40</v>
      </c>
      <c r="F276" s="51" t="s">
        <v>91</v>
      </c>
      <c r="G276" s="51" t="s">
        <v>126</v>
      </c>
      <c r="H276" s="53">
        <v>26</v>
      </c>
      <c r="I276" s="51" t="s">
        <v>127</v>
      </c>
      <c r="J276" s="53">
        <v>2</v>
      </c>
      <c r="K276" s="51" t="s">
        <v>131</v>
      </c>
      <c r="L276" s="51" t="s">
        <v>94</v>
      </c>
    </row>
    <row r="277" spans="1:12" hidden="1">
      <c r="A277" s="51" t="s">
        <v>129</v>
      </c>
      <c r="B277" s="52">
        <v>0</v>
      </c>
      <c r="C277" s="52">
        <v>347</v>
      </c>
      <c r="D277" s="53">
        <v>16</v>
      </c>
      <c r="E277" s="51">
        <v>5</v>
      </c>
      <c r="F277" s="51" t="s">
        <v>96</v>
      </c>
      <c r="G277" s="51" t="s">
        <v>130</v>
      </c>
      <c r="H277" s="53">
        <v>45</v>
      </c>
      <c r="I277" s="51" t="s">
        <v>135</v>
      </c>
      <c r="J277" s="53">
        <v>1</v>
      </c>
      <c r="K277" s="51" t="s">
        <v>131</v>
      </c>
      <c r="L277" s="51" t="s">
        <v>101</v>
      </c>
    </row>
    <row r="278" spans="1:12" hidden="1">
      <c r="A278" s="51" t="s">
        <v>129</v>
      </c>
      <c r="B278" s="52">
        <v>0</v>
      </c>
      <c r="C278" s="52">
        <v>836</v>
      </c>
      <c r="D278" s="53">
        <v>16</v>
      </c>
      <c r="E278" s="51">
        <v>4</v>
      </c>
      <c r="F278" s="51" t="s">
        <v>91</v>
      </c>
      <c r="G278" s="51" t="s">
        <v>126</v>
      </c>
      <c r="H278" s="53">
        <v>26</v>
      </c>
      <c r="I278" s="51" t="s">
        <v>127</v>
      </c>
      <c r="J278" s="53">
        <v>3</v>
      </c>
      <c r="K278" s="51" t="s">
        <v>128</v>
      </c>
      <c r="L278" s="51" t="s">
        <v>101</v>
      </c>
    </row>
    <row r="279" spans="1:12" hidden="1">
      <c r="A279" s="51" t="s">
        <v>129</v>
      </c>
      <c r="B279" s="52">
        <v>0</v>
      </c>
      <c r="C279" s="52">
        <v>142</v>
      </c>
      <c r="D279" s="53">
        <v>7</v>
      </c>
      <c r="E279" s="51">
        <v>53</v>
      </c>
      <c r="F279" s="51" t="s">
        <v>96</v>
      </c>
      <c r="G279" s="51" t="s">
        <v>130</v>
      </c>
      <c r="H279" s="53">
        <v>48</v>
      </c>
      <c r="I279" s="51" t="s">
        <v>127</v>
      </c>
      <c r="J279" s="53">
        <v>1</v>
      </c>
      <c r="K279" s="51" t="s">
        <v>131</v>
      </c>
      <c r="L279" s="51" t="s">
        <v>101</v>
      </c>
    </row>
    <row r="280" spans="1:12" hidden="1">
      <c r="A280" s="51" t="s">
        <v>129</v>
      </c>
      <c r="B280" s="52">
        <v>0</v>
      </c>
      <c r="C280" s="52">
        <v>169</v>
      </c>
      <c r="D280" s="53">
        <v>19</v>
      </c>
      <c r="E280" s="51">
        <v>6</v>
      </c>
      <c r="F280" s="51" t="s">
        <v>91</v>
      </c>
      <c r="G280" s="51" t="s">
        <v>126</v>
      </c>
      <c r="H280" s="53">
        <v>43</v>
      </c>
      <c r="I280" s="51" t="s">
        <v>127</v>
      </c>
      <c r="J280" s="53">
        <v>3</v>
      </c>
      <c r="K280" s="51" t="s">
        <v>131</v>
      </c>
      <c r="L280" s="51" t="s">
        <v>94</v>
      </c>
    </row>
    <row r="281" spans="1:12" hidden="1">
      <c r="A281" s="51" t="s">
        <v>97</v>
      </c>
      <c r="B281" s="52">
        <v>852</v>
      </c>
      <c r="C281" s="52">
        <v>3613</v>
      </c>
      <c r="D281" s="53">
        <v>61</v>
      </c>
      <c r="E281" s="51">
        <v>83</v>
      </c>
      <c r="F281" s="51" t="s">
        <v>96</v>
      </c>
      <c r="G281" s="51" t="s">
        <v>130</v>
      </c>
      <c r="H281" s="53">
        <v>59</v>
      </c>
      <c r="I281" s="51" t="s">
        <v>97</v>
      </c>
      <c r="J281" s="53">
        <v>4</v>
      </c>
      <c r="K281" s="51" t="s">
        <v>133</v>
      </c>
      <c r="L281" s="51" t="s">
        <v>94</v>
      </c>
    </row>
    <row r="282" spans="1:12" hidden="1">
      <c r="A282" s="51" t="s">
        <v>134</v>
      </c>
      <c r="B282" s="52">
        <v>0</v>
      </c>
      <c r="C282" s="52">
        <v>403</v>
      </c>
      <c r="D282" s="53">
        <v>7</v>
      </c>
      <c r="E282" s="51">
        <v>5</v>
      </c>
      <c r="F282" s="51" t="s">
        <v>96</v>
      </c>
      <c r="G282" s="51" t="s">
        <v>130</v>
      </c>
      <c r="H282" s="53">
        <v>55</v>
      </c>
      <c r="I282" s="51" t="s">
        <v>127</v>
      </c>
      <c r="J282" s="53">
        <v>2</v>
      </c>
      <c r="K282" s="51" t="s">
        <v>131</v>
      </c>
      <c r="L282" s="51" t="s">
        <v>101</v>
      </c>
    </row>
    <row r="283" spans="1:12" hidden="1">
      <c r="A283" s="51" t="s">
        <v>125</v>
      </c>
      <c r="B283" s="52">
        <v>0</v>
      </c>
      <c r="C283" s="52">
        <v>836</v>
      </c>
      <c r="D283" s="53">
        <v>25</v>
      </c>
      <c r="E283" s="51">
        <v>0</v>
      </c>
      <c r="F283" s="51" t="s">
        <v>91</v>
      </c>
      <c r="G283" s="51" t="s">
        <v>126</v>
      </c>
      <c r="H283" s="53">
        <v>29</v>
      </c>
      <c r="I283" s="51" t="s">
        <v>127</v>
      </c>
      <c r="J283" s="53">
        <v>2</v>
      </c>
      <c r="K283" s="51" t="s">
        <v>133</v>
      </c>
      <c r="L283" s="51" t="s">
        <v>94</v>
      </c>
    </row>
    <row r="284" spans="1:12" hidden="1">
      <c r="A284" s="51" t="s">
        <v>132</v>
      </c>
      <c r="B284" s="52">
        <v>425</v>
      </c>
      <c r="C284" s="52">
        <v>0</v>
      </c>
      <c r="D284" s="53">
        <v>19</v>
      </c>
      <c r="E284" s="51">
        <v>7</v>
      </c>
      <c r="F284" s="51" t="s">
        <v>96</v>
      </c>
      <c r="G284" s="51" t="s">
        <v>130</v>
      </c>
      <c r="H284" s="53">
        <v>32</v>
      </c>
      <c r="I284" s="51" t="s">
        <v>127</v>
      </c>
      <c r="J284" s="53">
        <v>2</v>
      </c>
      <c r="K284" s="51" t="s">
        <v>131</v>
      </c>
      <c r="L284" s="51" t="s">
        <v>94</v>
      </c>
    </row>
    <row r="285" spans="1:12" hidden="1">
      <c r="A285" s="51" t="s">
        <v>137</v>
      </c>
      <c r="B285" s="52">
        <v>0</v>
      </c>
      <c r="C285" s="52">
        <v>11481</v>
      </c>
      <c r="D285" s="53">
        <v>25</v>
      </c>
      <c r="E285" s="51">
        <v>18</v>
      </c>
      <c r="F285" s="51" t="s">
        <v>91</v>
      </c>
      <c r="G285" s="51" t="s">
        <v>126</v>
      </c>
      <c r="H285" s="53">
        <v>53</v>
      </c>
      <c r="I285" s="51" t="s">
        <v>127</v>
      </c>
      <c r="J285" s="53">
        <v>3</v>
      </c>
      <c r="K285" s="51" t="s">
        <v>133</v>
      </c>
      <c r="L285" s="51" t="s">
        <v>94</v>
      </c>
    </row>
    <row r="286" spans="1:12" hidden="1">
      <c r="A286" s="51" t="s">
        <v>137</v>
      </c>
      <c r="B286" s="52">
        <v>0</v>
      </c>
      <c r="C286" s="52">
        <v>3285</v>
      </c>
      <c r="D286" s="53">
        <v>7</v>
      </c>
      <c r="E286" s="51">
        <v>21</v>
      </c>
      <c r="F286" s="51" t="s">
        <v>91</v>
      </c>
      <c r="G286" s="51" t="s">
        <v>126</v>
      </c>
      <c r="H286" s="53">
        <v>33</v>
      </c>
      <c r="I286" s="51" t="s">
        <v>127</v>
      </c>
      <c r="J286" s="53">
        <v>2</v>
      </c>
      <c r="K286" s="51" t="s">
        <v>128</v>
      </c>
      <c r="L286" s="51" t="s">
        <v>101</v>
      </c>
    </row>
    <row r="287" spans="1:12" hidden="1">
      <c r="A287" s="51" t="s">
        <v>134</v>
      </c>
      <c r="B287" s="52">
        <v>0</v>
      </c>
      <c r="C287" s="52">
        <v>164</v>
      </c>
      <c r="D287" s="53">
        <v>13</v>
      </c>
      <c r="E287" s="51">
        <v>65</v>
      </c>
      <c r="F287" s="51" t="s">
        <v>96</v>
      </c>
      <c r="G287" s="51" t="s">
        <v>130</v>
      </c>
      <c r="H287" s="53">
        <v>56</v>
      </c>
      <c r="I287" s="51" t="s">
        <v>97</v>
      </c>
      <c r="J287" s="53">
        <v>4</v>
      </c>
      <c r="K287" s="51" t="s">
        <v>128</v>
      </c>
      <c r="L287" s="51" t="s">
        <v>101</v>
      </c>
    </row>
    <row r="288" spans="1:12" hidden="1">
      <c r="A288" s="51" t="s">
        <v>132</v>
      </c>
      <c r="B288" s="52">
        <v>11072</v>
      </c>
      <c r="C288" s="52">
        <v>891</v>
      </c>
      <c r="D288" s="53">
        <v>61</v>
      </c>
      <c r="E288" s="51">
        <v>17</v>
      </c>
      <c r="F288" s="51" t="s">
        <v>91</v>
      </c>
      <c r="G288" s="51" t="s">
        <v>126</v>
      </c>
      <c r="H288" s="53">
        <v>33</v>
      </c>
      <c r="I288" s="51" t="s">
        <v>97</v>
      </c>
      <c r="J288" s="53">
        <v>4</v>
      </c>
      <c r="K288" s="51" t="s">
        <v>131</v>
      </c>
      <c r="L288" s="51" t="s">
        <v>101</v>
      </c>
    </row>
    <row r="289" spans="1:12" hidden="1">
      <c r="A289" s="51" t="s">
        <v>138</v>
      </c>
      <c r="B289" s="52">
        <v>0</v>
      </c>
      <c r="C289" s="52">
        <v>0</v>
      </c>
      <c r="D289" s="53">
        <v>37</v>
      </c>
      <c r="E289" s="51">
        <v>49</v>
      </c>
      <c r="F289" s="51" t="s">
        <v>91</v>
      </c>
      <c r="G289" s="51" t="s">
        <v>126</v>
      </c>
      <c r="H289" s="53">
        <v>46</v>
      </c>
      <c r="I289" s="51" t="s">
        <v>97</v>
      </c>
      <c r="J289" s="53">
        <v>4</v>
      </c>
      <c r="K289" s="51" t="s">
        <v>131</v>
      </c>
      <c r="L289" s="51" t="s">
        <v>94</v>
      </c>
    </row>
    <row r="290" spans="1:12" hidden="1">
      <c r="A290" s="51" t="s">
        <v>138</v>
      </c>
      <c r="B290" s="52">
        <v>219</v>
      </c>
      <c r="C290" s="52">
        <v>841</v>
      </c>
      <c r="D290" s="53">
        <v>43</v>
      </c>
      <c r="E290" s="51">
        <v>0</v>
      </c>
      <c r="F290" s="51" t="s">
        <v>91</v>
      </c>
      <c r="G290" s="51" t="s">
        <v>126</v>
      </c>
      <c r="H290" s="53">
        <v>54</v>
      </c>
      <c r="I290" s="51" t="s">
        <v>97</v>
      </c>
      <c r="J290" s="53">
        <v>2</v>
      </c>
      <c r="K290" s="51" t="s">
        <v>133</v>
      </c>
      <c r="L290" s="51" t="s">
        <v>101</v>
      </c>
    </row>
    <row r="291" spans="1:12" hidden="1">
      <c r="A291" s="51" t="s">
        <v>132</v>
      </c>
      <c r="B291" s="52">
        <v>8060</v>
      </c>
      <c r="C291" s="52">
        <v>607</v>
      </c>
      <c r="D291" s="53">
        <v>19</v>
      </c>
      <c r="E291" s="51">
        <v>71</v>
      </c>
      <c r="F291" s="51" t="s">
        <v>96</v>
      </c>
      <c r="G291" s="51" t="s">
        <v>130</v>
      </c>
      <c r="H291" s="53">
        <v>22</v>
      </c>
      <c r="I291" s="51" t="s">
        <v>127</v>
      </c>
      <c r="J291" s="53">
        <v>2</v>
      </c>
      <c r="K291" s="51" t="s">
        <v>133</v>
      </c>
      <c r="L291" s="51" t="s">
        <v>101</v>
      </c>
    </row>
    <row r="292" spans="1:12" hidden="1">
      <c r="A292" s="51" t="s">
        <v>132</v>
      </c>
      <c r="B292" s="52">
        <v>0</v>
      </c>
      <c r="C292" s="52">
        <v>486</v>
      </c>
      <c r="D292" s="53">
        <v>12</v>
      </c>
      <c r="E292" s="51">
        <v>22</v>
      </c>
      <c r="F292" s="51" t="s">
        <v>91</v>
      </c>
      <c r="G292" s="51" t="s">
        <v>126</v>
      </c>
      <c r="H292" s="53">
        <v>35</v>
      </c>
      <c r="I292" s="51" t="s">
        <v>135</v>
      </c>
      <c r="J292" s="53">
        <v>2</v>
      </c>
      <c r="K292" s="51" t="s">
        <v>131</v>
      </c>
      <c r="L292" s="51" t="s">
        <v>101</v>
      </c>
    </row>
    <row r="293" spans="1:12" hidden="1">
      <c r="A293" s="51" t="s">
        <v>132</v>
      </c>
      <c r="B293" s="52">
        <v>0</v>
      </c>
      <c r="C293" s="52">
        <v>108</v>
      </c>
      <c r="D293" s="53">
        <v>25</v>
      </c>
      <c r="E293" s="51">
        <v>52</v>
      </c>
      <c r="F293" s="51" t="s">
        <v>91</v>
      </c>
      <c r="G293" s="51" t="s">
        <v>126</v>
      </c>
      <c r="H293" s="53">
        <v>46</v>
      </c>
      <c r="I293" s="51" t="s">
        <v>127</v>
      </c>
      <c r="J293" s="53">
        <v>4</v>
      </c>
      <c r="K293" s="51" t="s">
        <v>128</v>
      </c>
      <c r="L293" s="51" t="s">
        <v>94</v>
      </c>
    </row>
    <row r="294" spans="1:12" hidden="1">
      <c r="A294" s="51" t="s">
        <v>125</v>
      </c>
      <c r="B294" s="52">
        <v>0</v>
      </c>
      <c r="C294" s="52">
        <v>0</v>
      </c>
      <c r="D294" s="53">
        <v>43</v>
      </c>
      <c r="E294" s="51">
        <v>28</v>
      </c>
      <c r="F294" s="51" t="s">
        <v>96</v>
      </c>
      <c r="G294" s="51" t="s">
        <v>130</v>
      </c>
      <c r="H294" s="53">
        <v>29</v>
      </c>
      <c r="I294" s="51" t="s">
        <v>127</v>
      </c>
      <c r="J294" s="53">
        <v>3</v>
      </c>
      <c r="K294" s="51" t="s">
        <v>133</v>
      </c>
      <c r="L294" s="51" t="s">
        <v>94</v>
      </c>
    </row>
    <row r="295" spans="1:12" hidden="1">
      <c r="A295" s="51" t="s">
        <v>132</v>
      </c>
      <c r="B295" s="52">
        <v>0</v>
      </c>
      <c r="C295" s="52">
        <v>113</v>
      </c>
      <c r="D295" s="53">
        <v>25</v>
      </c>
      <c r="E295" s="51">
        <v>31</v>
      </c>
      <c r="F295" s="51" t="s">
        <v>96</v>
      </c>
      <c r="G295" s="51" t="s">
        <v>130</v>
      </c>
      <c r="H295" s="53">
        <v>22</v>
      </c>
      <c r="I295" s="51" t="s">
        <v>135</v>
      </c>
      <c r="J295" s="53">
        <v>4</v>
      </c>
      <c r="K295" s="51" t="s">
        <v>131</v>
      </c>
      <c r="L295" s="51" t="s">
        <v>94</v>
      </c>
    </row>
    <row r="296" spans="1:12" hidden="1">
      <c r="A296" s="51" t="s">
        <v>132</v>
      </c>
      <c r="B296" s="52">
        <v>1613</v>
      </c>
      <c r="C296" s="52">
        <v>0</v>
      </c>
      <c r="D296" s="53">
        <v>25</v>
      </c>
      <c r="E296" s="51">
        <v>118</v>
      </c>
      <c r="F296" s="51" t="s">
        <v>91</v>
      </c>
      <c r="G296" s="51" t="s">
        <v>136</v>
      </c>
      <c r="H296" s="53">
        <v>53</v>
      </c>
      <c r="I296" s="51" t="s">
        <v>127</v>
      </c>
      <c r="J296" s="53">
        <v>4</v>
      </c>
      <c r="K296" s="51" t="s">
        <v>131</v>
      </c>
      <c r="L296" s="51" t="s">
        <v>101</v>
      </c>
    </row>
    <row r="297" spans="1:12" hidden="1">
      <c r="A297" s="51" t="s">
        <v>129</v>
      </c>
      <c r="B297" s="52">
        <v>757</v>
      </c>
      <c r="C297" s="52">
        <v>208</v>
      </c>
      <c r="D297" s="53">
        <v>25</v>
      </c>
      <c r="E297" s="51">
        <v>36</v>
      </c>
      <c r="F297" s="51" t="s">
        <v>91</v>
      </c>
      <c r="G297" s="51" t="s">
        <v>130</v>
      </c>
      <c r="H297" s="53">
        <v>42</v>
      </c>
      <c r="I297" s="51" t="s">
        <v>127</v>
      </c>
      <c r="J297" s="53">
        <v>3</v>
      </c>
      <c r="K297" s="51" t="s">
        <v>131</v>
      </c>
      <c r="L297" s="51" t="s">
        <v>94</v>
      </c>
    </row>
    <row r="298" spans="1:12" hidden="1">
      <c r="A298" s="51" t="s">
        <v>141</v>
      </c>
      <c r="B298" s="52">
        <v>0</v>
      </c>
      <c r="C298" s="52">
        <v>603</v>
      </c>
      <c r="D298" s="53">
        <v>13</v>
      </c>
      <c r="E298" s="51">
        <v>35</v>
      </c>
      <c r="F298" s="51" t="s">
        <v>91</v>
      </c>
      <c r="G298" s="51" t="s">
        <v>136</v>
      </c>
      <c r="H298" s="53">
        <v>20</v>
      </c>
      <c r="I298" s="51" t="s">
        <v>135</v>
      </c>
      <c r="J298" s="53">
        <v>4</v>
      </c>
      <c r="K298" s="51" t="s">
        <v>131</v>
      </c>
      <c r="L298" s="51" t="s">
        <v>94</v>
      </c>
    </row>
    <row r="299" spans="1:12" hidden="1">
      <c r="A299" s="51" t="s">
        <v>132</v>
      </c>
      <c r="B299" s="52">
        <v>0</v>
      </c>
      <c r="C299" s="52">
        <v>343</v>
      </c>
      <c r="D299" s="53">
        <v>19</v>
      </c>
      <c r="E299" s="51">
        <v>22</v>
      </c>
      <c r="F299" s="51" t="s">
        <v>96</v>
      </c>
      <c r="G299" s="51" t="s">
        <v>130</v>
      </c>
      <c r="H299" s="53">
        <v>35</v>
      </c>
      <c r="I299" s="51" t="s">
        <v>127</v>
      </c>
      <c r="J299" s="53">
        <v>3</v>
      </c>
      <c r="K299" s="51" t="s">
        <v>131</v>
      </c>
      <c r="L299" s="51" t="s">
        <v>101</v>
      </c>
    </row>
    <row r="300" spans="1:12" hidden="1">
      <c r="A300" s="51" t="s">
        <v>134</v>
      </c>
      <c r="B300" s="52">
        <v>977</v>
      </c>
      <c r="C300" s="52">
        <v>463</v>
      </c>
      <c r="D300" s="53">
        <v>10</v>
      </c>
      <c r="E300" s="51">
        <v>61</v>
      </c>
      <c r="F300" s="51" t="s">
        <v>96</v>
      </c>
      <c r="G300" s="51" t="s">
        <v>130</v>
      </c>
      <c r="H300" s="53">
        <v>33</v>
      </c>
      <c r="I300" s="51" t="s">
        <v>127</v>
      </c>
      <c r="J300" s="53">
        <v>3</v>
      </c>
      <c r="K300" s="51" t="s">
        <v>133</v>
      </c>
      <c r="L300" s="51" t="s">
        <v>94</v>
      </c>
    </row>
    <row r="301" spans="1:12" hidden="1">
      <c r="A301" s="51" t="s">
        <v>134</v>
      </c>
      <c r="B301" s="52">
        <v>197</v>
      </c>
      <c r="C301" s="52">
        <v>0</v>
      </c>
      <c r="D301" s="53">
        <v>37</v>
      </c>
      <c r="E301" s="51">
        <v>17</v>
      </c>
      <c r="F301" s="51" t="s">
        <v>91</v>
      </c>
      <c r="G301" s="51" t="s">
        <v>136</v>
      </c>
      <c r="H301" s="53">
        <v>26</v>
      </c>
      <c r="I301" s="51" t="s">
        <v>127</v>
      </c>
      <c r="J301" s="53">
        <v>2</v>
      </c>
      <c r="K301" s="51" t="s">
        <v>131</v>
      </c>
      <c r="L301" s="51" t="s">
        <v>101</v>
      </c>
    </row>
    <row r="302" spans="1:12" hidden="1">
      <c r="A302" s="51" t="s">
        <v>129</v>
      </c>
      <c r="B302" s="52">
        <v>0</v>
      </c>
      <c r="C302" s="52">
        <v>299</v>
      </c>
      <c r="D302" s="53">
        <v>19</v>
      </c>
      <c r="E302" s="51">
        <v>11</v>
      </c>
      <c r="F302" s="51" t="s">
        <v>91</v>
      </c>
      <c r="G302" s="51" t="s">
        <v>126</v>
      </c>
      <c r="H302" s="53">
        <v>46</v>
      </c>
      <c r="I302" s="51" t="s">
        <v>97</v>
      </c>
      <c r="J302" s="53">
        <v>4</v>
      </c>
      <c r="K302" s="51" t="s">
        <v>131</v>
      </c>
      <c r="L302" s="51" t="s">
        <v>101</v>
      </c>
    </row>
    <row r="303" spans="1:12" hidden="1">
      <c r="A303" s="51" t="s">
        <v>132</v>
      </c>
      <c r="B303" s="52">
        <v>0</v>
      </c>
      <c r="C303" s="52">
        <v>490</v>
      </c>
      <c r="D303" s="53">
        <v>13</v>
      </c>
      <c r="E303" s="51">
        <v>15</v>
      </c>
      <c r="F303" s="51" t="s">
        <v>96</v>
      </c>
      <c r="G303" s="51" t="s">
        <v>130</v>
      </c>
      <c r="H303" s="53">
        <v>28</v>
      </c>
      <c r="I303" s="51" t="s">
        <v>127</v>
      </c>
      <c r="J303" s="53">
        <v>2</v>
      </c>
      <c r="K303" s="51" t="s">
        <v>131</v>
      </c>
      <c r="L303" s="51" t="s">
        <v>94</v>
      </c>
    </row>
    <row r="304" spans="1:12" hidden="1">
      <c r="A304" s="51" t="s">
        <v>125</v>
      </c>
      <c r="B304" s="52">
        <v>0</v>
      </c>
      <c r="C304" s="52">
        <v>6628</v>
      </c>
      <c r="D304" s="53">
        <v>37</v>
      </c>
      <c r="E304" s="51">
        <v>65</v>
      </c>
      <c r="F304" s="51" t="s">
        <v>91</v>
      </c>
      <c r="G304" s="51" t="s">
        <v>126</v>
      </c>
      <c r="H304" s="53">
        <v>38</v>
      </c>
      <c r="I304" s="51" t="s">
        <v>127</v>
      </c>
      <c r="J304" s="53">
        <v>4</v>
      </c>
      <c r="K304" s="51" t="s">
        <v>131</v>
      </c>
      <c r="L304" s="51" t="s">
        <v>101</v>
      </c>
    </row>
    <row r="305" spans="1:12" hidden="1">
      <c r="A305" s="51" t="s">
        <v>137</v>
      </c>
      <c r="B305" s="52">
        <v>0</v>
      </c>
      <c r="C305" s="52">
        <v>859</v>
      </c>
      <c r="D305" s="53">
        <v>19</v>
      </c>
      <c r="E305" s="51">
        <v>23</v>
      </c>
      <c r="F305" s="51" t="s">
        <v>91</v>
      </c>
      <c r="G305" s="51" t="s">
        <v>126</v>
      </c>
      <c r="H305" s="53">
        <v>35</v>
      </c>
      <c r="I305" s="51" t="s">
        <v>127</v>
      </c>
      <c r="J305" s="53">
        <v>2</v>
      </c>
      <c r="K305" s="51" t="s">
        <v>131</v>
      </c>
      <c r="L305" s="51" t="s">
        <v>94</v>
      </c>
    </row>
    <row r="306" spans="1:12" hidden="1">
      <c r="A306" s="51" t="s">
        <v>132</v>
      </c>
      <c r="B306" s="52">
        <v>0</v>
      </c>
      <c r="C306" s="52">
        <v>750</v>
      </c>
      <c r="D306" s="53">
        <v>13</v>
      </c>
      <c r="E306" s="51">
        <v>14</v>
      </c>
      <c r="F306" s="51" t="s">
        <v>91</v>
      </c>
      <c r="G306" s="51" t="s">
        <v>126</v>
      </c>
      <c r="H306" s="53">
        <v>47</v>
      </c>
      <c r="I306" s="51" t="s">
        <v>127</v>
      </c>
      <c r="J306" s="53">
        <v>4</v>
      </c>
      <c r="K306" s="51" t="s">
        <v>131</v>
      </c>
      <c r="L306" s="51" t="s">
        <v>94</v>
      </c>
    </row>
    <row r="307" spans="1:12" hidden="1">
      <c r="A307" s="51" t="s">
        <v>125</v>
      </c>
      <c r="B307" s="52">
        <v>256</v>
      </c>
      <c r="C307" s="52">
        <v>954</v>
      </c>
      <c r="D307" s="53">
        <v>10</v>
      </c>
      <c r="E307" s="51">
        <v>13</v>
      </c>
      <c r="F307" s="51" t="s">
        <v>91</v>
      </c>
      <c r="G307" s="51" t="s">
        <v>126</v>
      </c>
      <c r="H307" s="53">
        <v>23</v>
      </c>
      <c r="I307" s="51" t="s">
        <v>127</v>
      </c>
      <c r="J307" s="53">
        <v>3</v>
      </c>
      <c r="K307" s="51" t="s">
        <v>131</v>
      </c>
      <c r="L307" s="51" t="s">
        <v>101</v>
      </c>
    </row>
    <row r="308" spans="1:12" hidden="1">
      <c r="A308" s="51" t="s">
        <v>132</v>
      </c>
      <c r="B308" s="52">
        <v>296</v>
      </c>
      <c r="C308" s="52">
        <v>591</v>
      </c>
      <c r="D308" s="53">
        <v>37</v>
      </c>
      <c r="E308" s="51">
        <v>103</v>
      </c>
      <c r="F308" s="51" t="s">
        <v>91</v>
      </c>
      <c r="G308" s="51" t="s">
        <v>126</v>
      </c>
      <c r="H308" s="53">
        <v>56</v>
      </c>
      <c r="I308" s="51" t="s">
        <v>97</v>
      </c>
      <c r="J308" s="53">
        <v>4</v>
      </c>
      <c r="K308" s="51" t="s">
        <v>131</v>
      </c>
      <c r="L308" s="51" t="s">
        <v>94</v>
      </c>
    </row>
    <row r="309" spans="1:12" hidden="1">
      <c r="A309" s="51" t="s">
        <v>129</v>
      </c>
      <c r="B309" s="52">
        <v>0</v>
      </c>
      <c r="C309" s="52">
        <v>13970</v>
      </c>
      <c r="D309" s="53">
        <v>13</v>
      </c>
      <c r="E309" s="51">
        <v>24</v>
      </c>
      <c r="F309" s="51" t="s">
        <v>96</v>
      </c>
      <c r="G309" s="51" t="s">
        <v>130</v>
      </c>
      <c r="H309" s="53">
        <v>28</v>
      </c>
      <c r="I309" s="51" t="s">
        <v>135</v>
      </c>
      <c r="J309" s="53">
        <v>4</v>
      </c>
      <c r="K309" s="51" t="s">
        <v>128</v>
      </c>
      <c r="L309" s="51" t="s">
        <v>94</v>
      </c>
    </row>
    <row r="310" spans="1:12" hidden="1">
      <c r="A310" s="51" t="s">
        <v>132</v>
      </c>
      <c r="B310" s="52">
        <v>0</v>
      </c>
      <c r="C310" s="52">
        <v>857</v>
      </c>
      <c r="D310" s="53">
        <v>11</v>
      </c>
      <c r="E310" s="51">
        <v>34</v>
      </c>
      <c r="F310" s="51" t="s">
        <v>91</v>
      </c>
      <c r="G310" s="51" t="s">
        <v>126</v>
      </c>
      <c r="H310" s="53">
        <v>48</v>
      </c>
      <c r="I310" s="51" t="s">
        <v>127</v>
      </c>
      <c r="J310" s="53">
        <v>3</v>
      </c>
      <c r="K310" s="51" t="s">
        <v>131</v>
      </c>
      <c r="L310" s="51" t="s">
        <v>101</v>
      </c>
    </row>
    <row r="311" spans="1:12" hidden="1">
      <c r="A311" s="51" t="s">
        <v>129</v>
      </c>
      <c r="B311" s="52">
        <v>0</v>
      </c>
      <c r="C311" s="52">
        <v>5857</v>
      </c>
      <c r="D311" s="53">
        <v>19</v>
      </c>
      <c r="E311" s="51">
        <v>20</v>
      </c>
      <c r="F311" s="51" t="s">
        <v>91</v>
      </c>
      <c r="G311" s="51" t="s">
        <v>126</v>
      </c>
      <c r="H311" s="53">
        <v>27</v>
      </c>
      <c r="I311" s="51" t="s">
        <v>127</v>
      </c>
      <c r="J311" s="53">
        <v>2</v>
      </c>
      <c r="K311" s="51" t="s">
        <v>131</v>
      </c>
      <c r="L311" s="51" t="s">
        <v>101</v>
      </c>
    </row>
    <row r="312" spans="1:12" hidden="1">
      <c r="A312" s="51" t="s">
        <v>125</v>
      </c>
      <c r="B312" s="52">
        <v>298</v>
      </c>
      <c r="C312" s="52">
        <v>3326</v>
      </c>
      <c r="D312" s="53">
        <v>73</v>
      </c>
      <c r="E312" s="51">
        <v>15</v>
      </c>
      <c r="F312" s="51" t="s">
        <v>91</v>
      </c>
      <c r="G312" s="51" t="s">
        <v>136</v>
      </c>
      <c r="H312" s="53">
        <v>23</v>
      </c>
      <c r="I312" s="51" t="s">
        <v>127</v>
      </c>
      <c r="J312" s="53">
        <v>2</v>
      </c>
      <c r="K312" s="51" t="s">
        <v>131</v>
      </c>
      <c r="L312" s="51" t="s">
        <v>94</v>
      </c>
    </row>
    <row r="313" spans="1:12" hidden="1">
      <c r="A313" s="51" t="s">
        <v>125</v>
      </c>
      <c r="B313" s="52">
        <v>0</v>
      </c>
      <c r="C313" s="52">
        <v>726</v>
      </c>
      <c r="D313" s="53">
        <v>19</v>
      </c>
      <c r="E313" s="51">
        <v>7</v>
      </c>
      <c r="F313" s="51" t="s">
        <v>96</v>
      </c>
      <c r="G313" s="51" t="s">
        <v>130</v>
      </c>
      <c r="H313" s="53">
        <v>24</v>
      </c>
      <c r="I313" s="51" t="s">
        <v>135</v>
      </c>
      <c r="J313" s="53">
        <v>4</v>
      </c>
      <c r="K313" s="51" t="s">
        <v>131</v>
      </c>
      <c r="L313" s="51" t="s">
        <v>94</v>
      </c>
    </row>
    <row r="314" spans="1:12" hidden="1">
      <c r="A314" s="51" t="s">
        <v>129</v>
      </c>
      <c r="B314" s="52">
        <v>8636</v>
      </c>
      <c r="C314" s="52">
        <v>214</v>
      </c>
      <c r="D314" s="53">
        <v>11</v>
      </c>
      <c r="E314" s="51">
        <v>3</v>
      </c>
      <c r="F314" s="51" t="s">
        <v>96</v>
      </c>
      <c r="G314" s="51" t="s">
        <v>130</v>
      </c>
      <c r="H314" s="53">
        <v>22</v>
      </c>
      <c r="I314" s="51" t="s">
        <v>127</v>
      </c>
      <c r="J314" s="53">
        <v>2</v>
      </c>
      <c r="K314" s="51" t="s">
        <v>131</v>
      </c>
      <c r="L314" s="51" t="s">
        <v>101</v>
      </c>
    </row>
    <row r="315" spans="1:12" hidden="1">
      <c r="A315" s="51" t="s">
        <v>132</v>
      </c>
      <c r="B315" s="52">
        <v>0</v>
      </c>
      <c r="C315" s="52">
        <v>207</v>
      </c>
      <c r="D315" s="53">
        <v>13</v>
      </c>
      <c r="E315" s="51">
        <v>119</v>
      </c>
      <c r="F315" s="51" t="s">
        <v>91</v>
      </c>
      <c r="G315" s="51" t="s">
        <v>126</v>
      </c>
      <c r="H315" s="53">
        <v>42</v>
      </c>
      <c r="I315" s="51" t="s">
        <v>135</v>
      </c>
      <c r="J315" s="53">
        <v>4</v>
      </c>
      <c r="K315" s="51" t="s">
        <v>131</v>
      </c>
      <c r="L315" s="51" t="s">
        <v>94</v>
      </c>
    </row>
    <row r="316" spans="1:12" hidden="1">
      <c r="A316" s="51" t="s">
        <v>132</v>
      </c>
      <c r="B316" s="52">
        <v>0</v>
      </c>
      <c r="C316" s="52">
        <v>713</v>
      </c>
      <c r="D316" s="53">
        <v>13</v>
      </c>
      <c r="E316" s="51">
        <v>29</v>
      </c>
      <c r="F316" s="51" t="s">
        <v>91</v>
      </c>
      <c r="G316" s="51" t="s">
        <v>126</v>
      </c>
      <c r="H316" s="53">
        <v>25</v>
      </c>
      <c r="I316" s="51" t="s">
        <v>127</v>
      </c>
      <c r="J316" s="53">
        <v>2</v>
      </c>
      <c r="K316" s="51" t="s">
        <v>131</v>
      </c>
      <c r="L316" s="51" t="s">
        <v>94</v>
      </c>
    </row>
    <row r="317" spans="1:12" hidden="1">
      <c r="A317" s="51" t="s">
        <v>132</v>
      </c>
      <c r="B317" s="52">
        <v>19766</v>
      </c>
      <c r="C317" s="52">
        <v>2141</v>
      </c>
      <c r="D317" s="53">
        <v>11</v>
      </c>
      <c r="E317" s="51">
        <v>54</v>
      </c>
      <c r="F317" s="51" t="s">
        <v>96</v>
      </c>
      <c r="G317" s="51" t="s">
        <v>130</v>
      </c>
      <c r="H317" s="53">
        <v>47</v>
      </c>
      <c r="I317" s="51" t="s">
        <v>97</v>
      </c>
      <c r="J317" s="53">
        <v>4</v>
      </c>
      <c r="K317" s="51" t="s">
        <v>128</v>
      </c>
      <c r="L317" s="51" t="s">
        <v>94</v>
      </c>
    </row>
    <row r="318" spans="1:12" hidden="1">
      <c r="A318" s="51" t="s">
        <v>132</v>
      </c>
      <c r="B318" s="52">
        <v>0</v>
      </c>
      <c r="C318" s="52">
        <v>483</v>
      </c>
      <c r="D318" s="53">
        <v>19</v>
      </c>
      <c r="E318" s="51">
        <v>90</v>
      </c>
      <c r="F318" s="51" t="s">
        <v>96</v>
      </c>
      <c r="G318" s="51" t="s">
        <v>130</v>
      </c>
      <c r="H318" s="53">
        <v>32</v>
      </c>
      <c r="I318" s="51" t="s">
        <v>135</v>
      </c>
      <c r="J318" s="53">
        <v>4</v>
      </c>
      <c r="K318" s="51" t="s">
        <v>131</v>
      </c>
      <c r="L318" s="51" t="s">
        <v>94</v>
      </c>
    </row>
    <row r="319" spans="1:12" hidden="1">
      <c r="A319" s="51" t="s">
        <v>132</v>
      </c>
      <c r="B319" s="52">
        <v>0</v>
      </c>
      <c r="C319" s="52">
        <v>127</v>
      </c>
      <c r="D319" s="53">
        <v>7</v>
      </c>
      <c r="E319" s="51">
        <v>13</v>
      </c>
      <c r="F319" s="51" t="s">
        <v>91</v>
      </c>
      <c r="G319" s="51" t="s">
        <v>126</v>
      </c>
      <c r="H319" s="53">
        <v>25</v>
      </c>
      <c r="I319" s="51" t="s">
        <v>135</v>
      </c>
      <c r="J319" s="53">
        <v>3</v>
      </c>
      <c r="K319" s="51" t="s">
        <v>131</v>
      </c>
      <c r="L319" s="51" t="s">
        <v>101</v>
      </c>
    </row>
    <row r="320" spans="1:12" hidden="1">
      <c r="A320" s="51" t="s">
        <v>129</v>
      </c>
      <c r="B320" s="52">
        <v>0</v>
      </c>
      <c r="C320" s="52">
        <v>367</v>
      </c>
      <c r="D320" s="53">
        <v>37</v>
      </c>
      <c r="E320" s="51">
        <v>22</v>
      </c>
      <c r="F320" s="51" t="s">
        <v>91</v>
      </c>
      <c r="G320" s="51" t="s">
        <v>126</v>
      </c>
      <c r="H320" s="53">
        <v>36</v>
      </c>
      <c r="I320" s="51" t="s">
        <v>127</v>
      </c>
      <c r="J320" s="53">
        <v>2</v>
      </c>
      <c r="K320" s="51" t="s">
        <v>131</v>
      </c>
      <c r="L320" s="51" t="s">
        <v>101</v>
      </c>
    </row>
    <row r="321" spans="1:12" hidden="1">
      <c r="A321" s="51" t="s">
        <v>125</v>
      </c>
      <c r="B321" s="52">
        <v>0</v>
      </c>
      <c r="C321" s="52">
        <v>813</v>
      </c>
      <c r="D321" s="53">
        <v>43</v>
      </c>
      <c r="E321" s="51">
        <v>28</v>
      </c>
      <c r="F321" s="51" t="s">
        <v>91</v>
      </c>
      <c r="G321" s="51" t="s">
        <v>126</v>
      </c>
      <c r="H321" s="53">
        <v>25</v>
      </c>
      <c r="I321" s="51" t="s">
        <v>127</v>
      </c>
      <c r="J321" s="53">
        <v>2</v>
      </c>
      <c r="K321" s="51" t="s">
        <v>131</v>
      </c>
      <c r="L321" s="51" t="s">
        <v>94</v>
      </c>
    </row>
    <row r="322" spans="1:12" hidden="1">
      <c r="A322" s="51" t="s">
        <v>129</v>
      </c>
      <c r="B322" s="52">
        <v>4089</v>
      </c>
      <c r="C322" s="52">
        <v>0</v>
      </c>
      <c r="D322" s="53">
        <v>7</v>
      </c>
      <c r="E322" s="51">
        <v>14</v>
      </c>
      <c r="F322" s="51" t="s">
        <v>91</v>
      </c>
      <c r="G322" s="51" t="s">
        <v>136</v>
      </c>
      <c r="H322" s="53">
        <v>26</v>
      </c>
      <c r="I322" s="51" t="s">
        <v>127</v>
      </c>
      <c r="J322" s="53">
        <v>2</v>
      </c>
      <c r="K322" s="51" t="s">
        <v>131</v>
      </c>
      <c r="L322" s="51" t="s">
        <v>101</v>
      </c>
    </row>
    <row r="323" spans="1:12" hidden="1">
      <c r="A323" s="51" t="s">
        <v>132</v>
      </c>
      <c r="B323" s="52">
        <v>0</v>
      </c>
      <c r="C323" s="52">
        <v>102</v>
      </c>
      <c r="D323" s="53">
        <v>7</v>
      </c>
      <c r="E323" s="51">
        <v>0</v>
      </c>
      <c r="F323" s="51" t="s">
        <v>96</v>
      </c>
      <c r="G323" s="51" t="s">
        <v>130</v>
      </c>
      <c r="H323" s="53">
        <v>53</v>
      </c>
      <c r="I323" s="51" t="s">
        <v>127</v>
      </c>
      <c r="J323" s="53">
        <v>4</v>
      </c>
      <c r="K323" s="51" t="s">
        <v>140</v>
      </c>
      <c r="L323" s="51" t="s">
        <v>101</v>
      </c>
    </row>
    <row r="324" spans="1:12" hidden="1">
      <c r="A324" s="51" t="s">
        <v>139</v>
      </c>
      <c r="B324" s="52">
        <v>271</v>
      </c>
      <c r="C324" s="52">
        <v>759</v>
      </c>
      <c r="D324" s="53">
        <v>19</v>
      </c>
      <c r="E324" s="51">
        <v>0</v>
      </c>
      <c r="F324" s="51" t="s">
        <v>96</v>
      </c>
      <c r="G324" s="51" t="s">
        <v>130</v>
      </c>
      <c r="H324" s="53">
        <v>66</v>
      </c>
      <c r="I324" s="51" t="s">
        <v>127</v>
      </c>
      <c r="J324" s="53">
        <v>4</v>
      </c>
      <c r="K324" s="51" t="s">
        <v>131</v>
      </c>
      <c r="L324" s="51" t="s">
        <v>101</v>
      </c>
    </row>
    <row r="325" spans="1:12" hidden="1">
      <c r="A325" s="51" t="s">
        <v>132</v>
      </c>
      <c r="B325" s="52">
        <v>949</v>
      </c>
      <c r="C325" s="52">
        <v>0</v>
      </c>
      <c r="D325" s="53">
        <v>49</v>
      </c>
      <c r="E325" s="51">
        <v>36</v>
      </c>
      <c r="F325" s="51" t="s">
        <v>96</v>
      </c>
      <c r="G325" s="51" t="s">
        <v>130</v>
      </c>
      <c r="H325" s="53">
        <v>23</v>
      </c>
      <c r="I325" s="51" t="s">
        <v>127</v>
      </c>
      <c r="J325" s="53">
        <v>2</v>
      </c>
      <c r="K325" s="51" t="s">
        <v>131</v>
      </c>
      <c r="L325" s="51" t="s">
        <v>101</v>
      </c>
    </row>
    <row r="326" spans="1:12" hidden="1">
      <c r="A326" s="51" t="s">
        <v>125</v>
      </c>
      <c r="B326" s="52">
        <v>0</v>
      </c>
      <c r="C326" s="52">
        <v>503</v>
      </c>
      <c r="D326" s="53">
        <v>13</v>
      </c>
      <c r="E326" s="51">
        <v>62</v>
      </c>
      <c r="F326" s="51" t="s">
        <v>91</v>
      </c>
      <c r="G326" s="51" t="s">
        <v>126</v>
      </c>
      <c r="H326" s="53">
        <v>25</v>
      </c>
      <c r="I326" s="51" t="s">
        <v>127</v>
      </c>
      <c r="J326" s="53">
        <v>2</v>
      </c>
      <c r="K326" s="51" t="s">
        <v>131</v>
      </c>
      <c r="L326" s="51" t="s">
        <v>101</v>
      </c>
    </row>
    <row r="327" spans="1:12" hidden="1">
      <c r="A327" s="51" t="s">
        <v>125</v>
      </c>
      <c r="B327" s="52">
        <v>911</v>
      </c>
      <c r="C327" s="52">
        <v>823</v>
      </c>
      <c r="D327" s="53">
        <v>46</v>
      </c>
      <c r="E327" s="51">
        <v>4</v>
      </c>
      <c r="F327" s="51" t="s">
        <v>91</v>
      </c>
      <c r="G327" s="51" t="s">
        <v>126</v>
      </c>
      <c r="H327" s="53">
        <v>24</v>
      </c>
      <c r="I327" s="51" t="s">
        <v>127</v>
      </c>
      <c r="J327" s="53">
        <v>2</v>
      </c>
      <c r="K327" s="51" t="s">
        <v>128</v>
      </c>
      <c r="L327" s="51" t="s">
        <v>94</v>
      </c>
    </row>
    <row r="328" spans="1:12" hidden="1">
      <c r="A328" s="51" t="s">
        <v>132</v>
      </c>
      <c r="B328" s="52">
        <v>0</v>
      </c>
      <c r="C328" s="52">
        <v>693</v>
      </c>
      <c r="D328" s="53">
        <v>19</v>
      </c>
      <c r="E328" s="51">
        <v>28</v>
      </c>
      <c r="F328" s="51" t="s">
        <v>91</v>
      </c>
      <c r="G328" s="51" t="s">
        <v>126</v>
      </c>
      <c r="H328" s="53">
        <v>31</v>
      </c>
      <c r="I328" s="51" t="s">
        <v>97</v>
      </c>
      <c r="J328" s="53">
        <v>4</v>
      </c>
      <c r="K328" s="51" t="s">
        <v>128</v>
      </c>
      <c r="L328" s="51" t="s">
        <v>94</v>
      </c>
    </row>
    <row r="329" spans="1:12" hidden="1">
      <c r="A329" s="51" t="s">
        <v>138</v>
      </c>
      <c r="B329" s="52">
        <v>0</v>
      </c>
      <c r="C329" s="52">
        <v>973</v>
      </c>
      <c r="D329" s="53">
        <v>49</v>
      </c>
      <c r="E329" s="51">
        <v>81</v>
      </c>
      <c r="F329" s="51" t="s">
        <v>96</v>
      </c>
      <c r="G329" s="51" t="s">
        <v>130</v>
      </c>
      <c r="H329" s="53">
        <v>57</v>
      </c>
      <c r="I329" s="51" t="s">
        <v>97</v>
      </c>
      <c r="J329" s="53">
        <v>4</v>
      </c>
      <c r="K329" s="51" t="s">
        <v>128</v>
      </c>
      <c r="L329" s="51" t="s">
        <v>94</v>
      </c>
    </row>
    <row r="330" spans="1:12" hidden="1">
      <c r="A330" s="51" t="s">
        <v>132</v>
      </c>
      <c r="B330" s="52">
        <v>0</v>
      </c>
      <c r="C330" s="52">
        <v>648</v>
      </c>
      <c r="D330" s="53">
        <v>15</v>
      </c>
      <c r="E330" s="51">
        <v>57</v>
      </c>
      <c r="F330" s="51" t="s">
        <v>91</v>
      </c>
      <c r="G330" s="51" t="s">
        <v>130</v>
      </c>
      <c r="H330" s="53">
        <v>44</v>
      </c>
      <c r="I330" s="51" t="s">
        <v>127</v>
      </c>
      <c r="J330" s="53">
        <v>4</v>
      </c>
      <c r="K330" s="51" t="s">
        <v>133</v>
      </c>
      <c r="L330" s="51" t="s">
        <v>94</v>
      </c>
    </row>
    <row r="331" spans="1:12" hidden="1">
      <c r="A331" s="51" t="s">
        <v>97</v>
      </c>
      <c r="B331" s="52">
        <v>0</v>
      </c>
      <c r="C331" s="52">
        <v>523</v>
      </c>
      <c r="D331" s="53">
        <v>37</v>
      </c>
      <c r="E331" s="51">
        <v>0</v>
      </c>
      <c r="F331" s="51" t="s">
        <v>91</v>
      </c>
      <c r="G331" s="51" t="s">
        <v>130</v>
      </c>
      <c r="H331" s="53">
        <v>42</v>
      </c>
      <c r="I331" s="51" t="s">
        <v>127</v>
      </c>
      <c r="J331" s="53">
        <v>3</v>
      </c>
      <c r="K331" s="51" t="s">
        <v>133</v>
      </c>
      <c r="L331" s="51" t="s">
        <v>101</v>
      </c>
    </row>
    <row r="332" spans="1:12" hidden="1">
      <c r="A332" s="51" t="s">
        <v>138</v>
      </c>
      <c r="B332" s="52">
        <v>271</v>
      </c>
      <c r="C332" s="52">
        <v>7090</v>
      </c>
      <c r="D332" s="53">
        <v>25</v>
      </c>
      <c r="E332" s="51">
        <v>2</v>
      </c>
      <c r="F332" s="51" t="s">
        <v>96</v>
      </c>
      <c r="G332" s="51" t="s">
        <v>130</v>
      </c>
      <c r="H332" s="53">
        <v>27</v>
      </c>
      <c r="I332" s="51" t="s">
        <v>135</v>
      </c>
      <c r="J332" s="53">
        <v>4</v>
      </c>
      <c r="K332" s="51" t="s">
        <v>131</v>
      </c>
      <c r="L332" s="51" t="s">
        <v>94</v>
      </c>
    </row>
    <row r="333" spans="1:12" hidden="1">
      <c r="A333" s="51" t="s">
        <v>125</v>
      </c>
      <c r="B333" s="52">
        <v>0</v>
      </c>
      <c r="C333" s="52">
        <v>596</v>
      </c>
      <c r="D333" s="53">
        <v>13</v>
      </c>
      <c r="E333" s="51">
        <v>67</v>
      </c>
      <c r="F333" s="51" t="s">
        <v>91</v>
      </c>
      <c r="G333" s="51" t="s">
        <v>126</v>
      </c>
      <c r="H333" s="53">
        <v>51</v>
      </c>
      <c r="I333" s="51" t="s">
        <v>127</v>
      </c>
      <c r="J333" s="53">
        <v>4</v>
      </c>
      <c r="K333" s="51" t="s">
        <v>131</v>
      </c>
      <c r="L333" s="51" t="s">
        <v>101</v>
      </c>
    </row>
    <row r="334" spans="1:12" hidden="1">
      <c r="A334" s="51" t="s">
        <v>138</v>
      </c>
      <c r="B334" s="52">
        <v>0</v>
      </c>
      <c r="C334" s="52">
        <v>904</v>
      </c>
      <c r="D334" s="53">
        <v>49</v>
      </c>
      <c r="E334" s="51">
        <v>119</v>
      </c>
      <c r="F334" s="51" t="s">
        <v>91</v>
      </c>
      <c r="G334" s="51" t="s">
        <v>126</v>
      </c>
      <c r="H334" s="53">
        <v>23</v>
      </c>
      <c r="I334" s="51" t="s">
        <v>97</v>
      </c>
      <c r="J334" s="53">
        <v>4</v>
      </c>
      <c r="K334" s="51" t="s">
        <v>131</v>
      </c>
      <c r="L334" s="51" t="s">
        <v>94</v>
      </c>
    </row>
    <row r="335" spans="1:12" hidden="1">
      <c r="A335" s="51" t="s">
        <v>132</v>
      </c>
      <c r="B335" s="52">
        <v>0</v>
      </c>
      <c r="C335" s="52">
        <v>541</v>
      </c>
      <c r="D335" s="53">
        <v>19</v>
      </c>
      <c r="E335" s="51">
        <v>13</v>
      </c>
      <c r="F335" s="51" t="s">
        <v>91</v>
      </c>
      <c r="G335" s="51" t="s">
        <v>126</v>
      </c>
      <c r="H335" s="53">
        <v>31</v>
      </c>
      <c r="I335" s="51" t="s">
        <v>127</v>
      </c>
      <c r="J335" s="53">
        <v>2</v>
      </c>
      <c r="K335" s="51" t="s">
        <v>131</v>
      </c>
      <c r="L335" s="51" t="s">
        <v>94</v>
      </c>
    </row>
    <row r="336" spans="1:12" hidden="1">
      <c r="A336" s="51" t="s">
        <v>129</v>
      </c>
      <c r="B336" s="52">
        <v>0</v>
      </c>
      <c r="C336" s="52">
        <v>154</v>
      </c>
      <c r="D336" s="53">
        <v>37</v>
      </c>
      <c r="E336" s="51">
        <v>2</v>
      </c>
      <c r="F336" s="51" t="s">
        <v>96</v>
      </c>
      <c r="G336" s="51" t="s">
        <v>130</v>
      </c>
      <c r="H336" s="53">
        <v>22</v>
      </c>
      <c r="I336" s="51" t="s">
        <v>135</v>
      </c>
      <c r="J336" s="53">
        <v>4</v>
      </c>
      <c r="K336" s="51" t="s">
        <v>131</v>
      </c>
      <c r="L336" s="51" t="s">
        <v>94</v>
      </c>
    </row>
    <row r="337" spans="1:12" hidden="1">
      <c r="A337" s="51" t="s">
        <v>132</v>
      </c>
      <c r="B337" s="52">
        <v>4802</v>
      </c>
      <c r="C337" s="52">
        <v>0</v>
      </c>
      <c r="D337" s="53">
        <v>37</v>
      </c>
      <c r="E337" s="51">
        <v>12</v>
      </c>
      <c r="F337" s="51" t="s">
        <v>91</v>
      </c>
      <c r="G337" s="51" t="s">
        <v>126</v>
      </c>
      <c r="H337" s="53">
        <v>35</v>
      </c>
      <c r="I337" s="51" t="s">
        <v>127</v>
      </c>
      <c r="J337" s="53">
        <v>4</v>
      </c>
      <c r="K337" s="51" t="s">
        <v>131</v>
      </c>
      <c r="L337" s="51" t="s">
        <v>101</v>
      </c>
    </row>
    <row r="338" spans="1:12" hidden="1">
      <c r="A338" s="51" t="s">
        <v>137</v>
      </c>
      <c r="B338" s="52">
        <v>177</v>
      </c>
      <c r="C338" s="52">
        <v>0</v>
      </c>
      <c r="D338" s="53">
        <v>49</v>
      </c>
      <c r="E338" s="51">
        <v>9</v>
      </c>
      <c r="F338" s="51" t="s">
        <v>91</v>
      </c>
      <c r="G338" s="51" t="s">
        <v>126</v>
      </c>
      <c r="H338" s="53">
        <v>37</v>
      </c>
      <c r="I338" s="51" t="s">
        <v>97</v>
      </c>
      <c r="J338" s="53">
        <v>4</v>
      </c>
      <c r="K338" s="51" t="s">
        <v>131</v>
      </c>
      <c r="L338" s="51" t="s">
        <v>101</v>
      </c>
    </row>
    <row r="339" spans="1:12" hidden="1">
      <c r="A339" s="51" t="s">
        <v>125</v>
      </c>
      <c r="B339" s="52">
        <v>0</v>
      </c>
      <c r="C339" s="52">
        <v>337</v>
      </c>
      <c r="D339" s="53">
        <v>25</v>
      </c>
      <c r="E339" s="51">
        <v>107</v>
      </c>
      <c r="F339" s="51" t="s">
        <v>91</v>
      </c>
      <c r="G339" s="51" t="s">
        <v>126</v>
      </c>
      <c r="H339" s="53">
        <v>35</v>
      </c>
      <c r="I339" s="51" t="s">
        <v>127</v>
      </c>
      <c r="J339" s="53">
        <v>1</v>
      </c>
      <c r="K339" s="51" t="s">
        <v>133</v>
      </c>
      <c r="L339" s="51" t="s">
        <v>101</v>
      </c>
    </row>
    <row r="340" spans="1:12" hidden="1">
      <c r="A340" s="51" t="s">
        <v>132</v>
      </c>
      <c r="B340" s="52">
        <v>0</v>
      </c>
      <c r="C340" s="52">
        <v>716</v>
      </c>
      <c r="D340" s="53">
        <v>19</v>
      </c>
      <c r="E340" s="51">
        <v>33</v>
      </c>
      <c r="F340" s="51" t="s">
        <v>91</v>
      </c>
      <c r="G340" s="51" t="s">
        <v>126</v>
      </c>
      <c r="H340" s="53">
        <v>30</v>
      </c>
      <c r="I340" s="51" t="s">
        <v>127</v>
      </c>
      <c r="J340" s="53">
        <v>2</v>
      </c>
      <c r="K340" s="51" t="s">
        <v>131</v>
      </c>
      <c r="L340" s="51" t="s">
        <v>94</v>
      </c>
    </row>
    <row r="341" spans="1:12" hidden="1">
      <c r="A341" s="51" t="s">
        <v>134</v>
      </c>
      <c r="B341" s="52">
        <v>996</v>
      </c>
      <c r="C341" s="52">
        <v>837</v>
      </c>
      <c r="D341" s="53">
        <v>49</v>
      </c>
      <c r="E341" s="51">
        <v>83</v>
      </c>
      <c r="F341" s="51" t="s">
        <v>91</v>
      </c>
      <c r="G341" s="51" t="s">
        <v>126</v>
      </c>
      <c r="H341" s="53">
        <v>49</v>
      </c>
      <c r="I341" s="51" t="s">
        <v>97</v>
      </c>
      <c r="J341" s="53">
        <v>4</v>
      </c>
      <c r="K341" s="51" t="s">
        <v>131</v>
      </c>
      <c r="L341" s="51" t="s">
        <v>94</v>
      </c>
    </row>
    <row r="342" spans="1:12" hidden="1">
      <c r="A342" s="51" t="s">
        <v>134</v>
      </c>
      <c r="B342" s="52">
        <v>705</v>
      </c>
      <c r="C342" s="52">
        <v>0</v>
      </c>
      <c r="D342" s="53">
        <v>25</v>
      </c>
      <c r="E342" s="51">
        <v>24</v>
      </c>
      <c r="F342" s="51" t="s">
        <v>96</v>
      </c>
      <c r="G342" s="51" t="s">
        <v>130</v>
      </c>
      <c r="H342" s="53">
        <v>32</v>
      </c>
      <c r="I342" s="51" t="s">
        <v>127</v>
      </c>
      <c r="J342" s="53">
        <v>2</v>
      </c>
      <c r="K342" s="51" t="s">
        <v>131</v>
      </c>
      <c r="L342" s="51" t="s">
        <v>101</v>
      </c>
    </row>
    <row r="343" spans="1:12" hidden="1">
      <c r="A343" s="51" t="s">
        <v>129</v>
      </c>
      <c r="B343" s="52">
        <v>0</v>
      </c>
      <c r="C343" s="52">
        <v>7710</v>
      </c>
      <c r="D343" s="53">
        <v>25</v>
      </c>
      <c r="E343" s="51">
        <v>114</v>
      </c>
      <c r="F343" s="51" t="s">
        <v>91</v>
      </c>
      <c r="G343" s="51" t="s">
        <v>126</v>
      </c>
      <c r="H343" s="53">
        <v>52</v>
      </c>
      <c r="I343" s="51" t="s">
        <v>127</v>
      </c>
      <c r="J343" s="53">
        <v>4</v>
      </c>
      <c r="K343" s="51" t="s">
        <v>131</v>
      </c>
      <c r="L343" s="51" t="s">
        <v>101</v>
      </c>
    </row>
    <row r="344" spans="1:12" hidden="1">
      <c r="A344" s="51" t="s">
        <v>132</v>
      </c>
      <c r="B344" s="52">
        <v>0</v>
      </c>
      <c r="C344" s="52">
        <v>531</v>
      </c>
      <c r="D344" s="53">
        <v>13</v>
      </c>
      <c r="E344" s="51">
        <v>5</v>
      </c>
      <c r="F344" s="51" t="s">
        <v>91</v>
      </c>
      <c r="G344" s="51" t="s">
        <v>126</v>
      </c>
      <c r="H344" s="53">
        <v>45</v>
      </c>
      <c r="I344" s="51" t="s">
        <v>127</v>
      </c>
      <c r="J344" s="53">
        <v>2</v>
      </c>
      <c r="K344" s="51" t="s">
        <v>131</v>
      </c>
      <c r="L344" s="51" t="s">
        <v>94</v>
      </c>
    </row>
    <row r="345" spans="1:12" hidden="1">
      <c r="A345" s="51" t="s">
        <v>125</v>
      </c>
      <c r="B345" s="52">
        <v>5960</v>
      </c>
      <c r="C345" s="52">
        <v>129</v>
      </c>
      <c r="D345" s="53">
        <v>13</v>
      </c>
      <c r="E345" s="51">
        <v>16</v>
      </c>
      <c r="F345" s="51" t="s">
        <v>91</v>
      </c>
      <c r="G345" s="51" t="s">
        <v>136</v>
      </c>
      <c r="H345" s="53">
        <v>23</v>
      </c>
      <c r="I345" s="51" t="s">
        <v>127</v>
      </c>
      <c r="J345" s="53">
        <v>1</v>
      </c>
      <c r="K345" s="51" t="s">
        <v>131</v>
      </c>
      <c r="L345" s="51" t="s">
        <v>101</v>
      </c>
    </row>
    <row r="346" spans="1:12" hidden="1">
      <c r="A346" s="51" t="s">
        <v>129</v>
      </c>
      <c r="B346" s="52">
        <v>0</v>
      </c>
      <c r="C346" s="52">
        <v>941</v>
      </c>
      <c r="D346" s="53">
        <v>13</v>
      </c>
      <c r="E346" s="51">
        <v>111</v>
      </c>
      <c r="F346" s="51" t="s">
        <v>91</v>
      </c>
      <c r="G346" s="51" t="s">
        <v>126</v>
      </c>
      <c r="H346" s="53">
        <v>41</v>
      </c>
      <c r="I346" s="51" t="s">
        <v>127</v>
      </c>
      <c r="J346" s="53">
        <v>4</v>
      </c>
      <c r="K346" s="51" t="s">
        <v>131</v>
      </c>
      <c r="L346" s="51" t="s">
        <v>101</v>
      </c>
    </row>
    <row r="347" spans="1:12" hidden="1">
      <c r="A347" s="51" t="s">
        <v>129</v>
      </c>
      <c r="B347" s="52">
        <v>759</v>
      </c>
      <c r="C347" s="52">
        <v>596</v>
      </c>
      <c r="D347" s="53">
        <v>10</v>
      </c>
      <c r="E347" s="51">
        <v>18</v>
      </c>
      <c r="F347" s="51" t="s">
        <v>96</v>
      </c>
      <c r="G347" s="51" t="s">
        <v>130</v>
      </c>
      <c r="H347" s="53">
        <v>28</v>
      </c>
      <c r="I347" s="51" t="s">
        <v>127</v>
      </c>
      <c r="J347" s="53">
        <v>2</v>
      </c>
      <c r="K347" s="51" t="s">
        <v>131</v>
      </c>
      <c r="L347" s="51" t="s">
        <v>94</v>
      </c>
    </row>
    <row r="348" spans="1:12" hidden="1">
      <c r="A348" s="51" t="s">
        <v>129</v>
      </c>
      <c r="B348" s="52">
        <v>0</v>
      </c>
      <c r="C348" s="52">
        <v>987</v>
      </c>
      <c r="D348" s="53">
        <v>37</v>
      </c>
      <c r="E348" s="51">
        <v>101</v>
      </c>
      <c r="F348" s="51" t="s">
        <v>91</v>
      </c>
      <c r="G348" s="51" t="s">
        <v>126</v>
      </c>
      <c r="H348" s="53">
        <v>30</v>
      </c>
      <c r="I348" s="51" t="s">
        <v>127</v>
      </c>
      <c r="J348" s="53">
        <v>4</v>
      </c>
      <c r="K348" s="51" t="s">
        <v>131</v>
      </c>
      <c r="L348" s="51" t="s">
        <v>94</v>
      </c>
    </row>
    <row r="349" spans="1:12" hidden="1">
      <c r="A349" s="51" t="s">
        <v>125</v>
      </c>
      <c r="B349" s="52">
        <v>651</v>
      </c>
      <c r="C349" s="52">
        <v>0</v>
      </c>
      <c r="D349" s="53">
        <v>37</v>
      </c>
      <c r="E349" s="51">
        <v>102</v>
      </c>
      <c r="F349" s="51" t="s">
        <v>91</v>
      </c>
      <c r="G349" s="51" t="s">
        <v>126</v>
      </c>
      <c r="H349" s="53">
        <v>50</v>
      </c>
      <c r="I349" s="51" t="s">
        <v>127</v>
      </c>
      <c r="J349" s="53">
        <v>2</v>
      </c>
      <c r="K349" s="51" t="s">
        <v>131</v>
      </c>
      <c r="L349" s="51" t="s">
        <v>101</v>
      </c>
    </row>
    <row r="350" spans="1:12" hidden="1">
      <c r="A350" s="51" t="s">
        <v>137</v>
      </c>
      <c r="B350" s="52">
        <v>257</v>
      </c>
      <c r="C350" s="52">
        <v>460</v>
      </c>
      <c r="D350" s="53">
        <v>49</v>
      </c>
      <c r="E350" s="51">
        <v>75</v>
      </c>
      <c r="F350" s="51" t="s">
        <v>96</v>
      </c>
      <c r="G350" s="51" t="s">
        <v>130</v>
      </c>
      <c r="H350" s="53">
        <v>58</v>
      </c>
      <c r="I350" s="51" t="s">
        <v>135</v>
      </c>
      <c r="J350" s="53">
        <v>3</v>
      </c>
      <c r="K350" s="51" t="s">
        <v>131</v>
      </c>
      <c r="L350" s="51" t="s">
        <v>94</v>
      </c>
    </row>
    <row r="351" spans="1:12" hidden="1">
      <c r="A351" s="51" t="s">
        <v>125</v>
      </c>
      <c r="B351" s="52">
        <v>955</v>
      </c>
      <c r="C351" s="52">
        <v>0</v>
      </c>
      <c r="D351" s="53">
        <v>49</v>
      </c>
      <c r="E351" s="51">
        <v>29</v>
      </c>
      <c r="F351" s="51" t="s">
        <v>91</v>
      </c>
      <c r="G351" s="51" t="s">
        <v>126</v>
      </c>
      <c r="H351" s="53">
        <v>36</v>
      </c>
      <c r="I351" s="51" t="s">
        <v>127</v>
      </c>
      <c r="J351" s="53">
        <v>3</v>
      </c>
      <c r="K351" s="51" t="s">
        <v>131</v>
      </c>
      <c r="L351" s="51" t="s">
        <v>101</v>
      </c>
    </row>
    <row r="352" spans="1:12" hidden="1">
      <c r="A352" s="51" t="s">
        <v>125</v>
      </c>
      <c r="B352" s="52">
        <v>0</v>
      </c>
      <c r="C352" s="52">
        <v>798</v>
      </c>
      <c r="D352" s="53">
        <v>25</v>
      </c>
      <c r="E352" s="51">
        <v>42</v>
      </c>
      <c r="F352" s="51" t="s">
        <v>91</v>
      </c>
      <c r="G352" s="51" t="s">
        <v>126</v>
      </c>
      <c r="H352" s="53">
        <v>23</v>
      </c>
      <c r="I352" s="51" t="s">
        <v>135</v>
      </c>
      <c r="J352" s="53">
        <v>4</v>
      </c>
      <c r="K352" s="51" t="s">
        <v>128</v>
      </c>
      <c r="L352" s="51" t="s">
        <v>94</v>
      </c>
    </row>
    <row r="353" spans="1:12" hidden="1">
      <c r="A353" s="51" t="s">
        <v>125</v>
      </c>
      <c r="B353" s="52">
        <v>8249</v>
      </c>
      <c r="C353" s="52">
        <v>0</v>
      </c>
      <c r="D353" s="53">
        <v>31</v>
      </c>
      <c r="E353" s="51">
        <v>77</v>
      </c>
      <c r="F353" s="51" t="s">
        <v>91</v>
      </c>
      <c r="G353" s="51" t="s">
        <v>126</v>
      </c>
      <c r="H353" s="53">
        <v>48</v>
      </c>
      <c r="I353" s="51" t="s">
        <v>127</v>
      </c>
      <c r="J353" s="53">
        <v>4</v>
      </c>
      <c r="K353" s="51" t="s">
        <v>128</v>
      </c>
      <c r="L353" s="51" t="s">
        <v>101</v>
      </c>
    </row>
    <row r="354" spans="1:12" hidden="1">
      <c r="A354" s="51" t="s">
        <v>125</v>
      </c>
      <c r="B354" s="52">
        <v>0</v>
      </c>
      <c r="C354" s="52">
        <v>959</v>
      </c>
      <c r="D354" s="53">
        <v>11</v>
      </c>
      <c r="E354" s="51">
        <v>21</v>
      </c>
      <c r="F354" s="51" t="s">
        <v>91</v>
      </c>
      <c r="G354" s="51" t="s">
        <v>126</v>
      </c>
      <c r="H354" s="53">
        <v>37</v>
      </c>
      <c r="I354" s="51" t="s">
        <v>127</v>
      </c>
      <c r="J354" s="53">
        <v>4</v>
      </c>
      <c r="K354" s="51" t="s">
        <v>131</v>
      </c>
      <c r="L354" s="51" t="s">
        <v>101</v>
      </c>
    </row>
    <row r="355" spans="1:12" hidden="1">
      <c r="A355" s="51" t="s">
        <v>125</v>
      </c>
      <c r="B355" s="52">
        <v>956</v>
      </c>
      <c r="C355" s="52">
        <v>1482</v>
      </c>
      <c r="D355" s="53">
        <v>46</v>
      </c>
      <c r="E355" s="51">
        <v>19</v>
      </c>
      <c r="F355" s="51" t="s">
        <v>91</v>
      </c>
      <c r="G355" s="51" t="s">
        <v>126</v>
      </c>
      <c r="H355" s="53">
        <v>20</v>
      </c>
      <c r="I355" s="51" t="s">
        <v>135</v>
      </c>
      <c r="J355" s="53">
        <v>4</v>
      </c>
      <c r="K355" s="51" t="s">
        <v>131</v>
      </c>
      <c r="L355" s="51" t="s">
        <v>94</v>
      </c>
    </row>
    <row r="356" spans="1:12" hidden="1">
      <c r="A356" s="51" t="s">
        <v>132</v>
      </c>
      <c r="B356" s="52">
        <v>382</v>
      </c>
      <c r="C356" s="52">
        <v>883</v>
      </c>
      <c r="D356" s="53">
        <v>31</v>
      </c>
      <c r="E356" s="51">
        <v>20</v>
      </c>
      <c r="F356" s="51" t="s">
        <v>96</v>
      </c>
      <c r="G356" s="51" t="s">
        <v>130</v>
      </c>
      <c r="H356" s="53">
        <v>23</v>
      </c>
      <c r="I356" s="51" t="s">
        <v>127</v>
      </c>
      <c r="J356" s="53">
        <v>2</v>
      </c>
      <c r="K356" s="51" t="s">
        <v>131</v>
      </c>
      <c r="L356" s="51" t="s">
        <v>94</v>
      </c>
    </row>
    <row r="357" spans="1:12" hidden="1">
      <c r="A357" s="51" t="s">
        <v>129</v>
      </c>
      <c r="B357" s="52">
        <v>0</v>
      </c>
      <c r="C357" s="52">
        <v>12721</v>
      </c>
      <c r="D357" s="53">
        <v>37</v>
      </c>
      <c r="E357" s="51">
        <v>31</v>
      </c>
      <c r="F357" s="51" t="s">
        <v>96</v>
      </c>
      <c r="G357" s="51" t="s">
        <v>130</v>
      </c>
      <c r="H357" s="53">
        <v>39</v>
      </c>
      <c r="I357" s="51" t="s">
        <v>127</v>
      </c>
      <c r="J357" s="53">
        <v>4</v>
      </c>
      <c r="K357" s="51" t="s">
        <v>131</v>
      </c>
      <c r="L357" s="51" t="s">
        <v>101</v>
      </c>
    </row>
    <row r="358" spans="1:12" hidden="1">
      <c r="A358" s="51" t="s">
        <v>134</v>
      </c>
      <c r="B358" s="52">
        <v>842</v>
      </c>
      <c r="C358" s="52">
        <v>0</v>
      </c>
      <c r="D358" s="53">
        <v>37</v>
      </c>
      <c r="E358" s="51">
        <v>9</v>
      </c>
      <c r="F358" s="51" t="s">
        <v>91</v>
      </c>
      <c r="G358" s="51" t="s">
        <v>126</v>
      </c>
      <c r="H358" s="53">
        <v>34</v>
      </c>
      <c r="I358" s="51" t="s">
        <v>97</v>
      </c>
      <c r="J358" s="53">
        <v>4</v>
      </c>
      <c r="K358" s="51" t="s">
        <v>128</v>
      </c>
      <c r="L358" s="51" t="s">
        <v>101</v>
      </c>
    </row>
    <row r="359" spans="1:12" hidden="1">
      <c r="A359" s="51" t="s">
        <v>139</v>
      </c>
      <c r="B359" s="52">
        <v>3111</v>
      </c>
      <c r="C359" s="52">
        <v>0</v>
      </c>
      <c r="D359" s="53">
        <v>13</v>
      </c>
      <c r="E359" s="51">
        <v>27</v>
      </c>
      <c r="F359" s="51" t="s">
        <v>96</v>
      </c>
      <c r="G359" s="51" t="s">
        <v>130</v>
      </c>
      <c r="H359" s="53">
        <v>22</v>
      </c>
      <c r="I359" s="51" t="s">
        <v>127</v>
      </c>
      <c r="J359" s="53">
        <v>4</v>
      </c>
      <c r="K359" s="51" t="s">
        <v>131</v>
      </c>
      <c r="L359" s="51" t="s">
        <v>101</v>
      </c>
    </row>
    <row r="360" spans="1:12" hidden="1">
      <c r="A360" s="51" t="s">
        <v>125</v>
      </c>
      <c r="B360" s="52">
        <v>0</v>
      </c>
      <c r="C360" s="52">
        <v>302</v>
      </c>
      <c r="D360" s="53">
        <v>10</v>
      </c>
      <c r="E360" s="51">
        <v>30</v>
      </c>
      <c r="F360" s="51" t="s">
        <v>91</v>
      </c>
      <c r="G360" s="51" t="s">
        <v>126</v>
      </c>
      <c r="H360" s="53">
        <v>21</v>
      </c>
      <c r="I360" s="51" t="s">
        <v>127</v>
      </c>
      <c r="J360" s="53">
        <v>2</v>
      </c>
      <c r="K360" s="51" t="s">
        <v>131</v>
      </c>
      <c r="L360" s="51" t="s">
        <v>94</v>
      </c>
    </row>
    <row r="361" spans="1:12" hidden="1">
      <c r="A361" s="51" t="s">
        <v>129</v>
      </c>
      <c r="B361" s="52">
        <v>0</v>
      </c>
      <c r="C361" s="52">
        <v>538</v>
      </c>
      <c r="D361" s="53">
        <v>25</v>
      </c>
      <c r="E361" s="51">
        <v>59</v>
      </c>
      <c r="F361" s="51" t="s">
        <v>91</v>
      </c>
      <c r="G361" s="51" t="s">
        <v>126</v>
      </c>
      <c r="H361" s="53">
        <v>38</v>
      </c>
      <c r="I361" s="51" t="s">
        <v>135</v>
      </c>
      <c r="J361" s="53">
        <v>2</v>
      </c>
      <c r="K361" s="51" t="s">
        <v>133</v>
      </c>
      <c r="L361" s="51" t="s">
        <v>94</v>
      </c>
    </row>
    <row r="362" spans="1:12" hidden="1">
      <c r="A362" s="51" t="s">
        <v>125</v>
      </c>
      <c r="B362" s="52">
        <v>2846</v>
      </c>
      <c r="C362" s="52">
        <v>0</v>
      </c>
      <c r="D362" s="53">
        <v>13</v>
      </c>
      <c r="E362" s="51">
        <v>14</v>
      </c>
      <c r="F362" s="51" t="s">
        <v>91</v>
      </c>
      <c r="G362" s="51" t="s">
        <v>126</v>
      </c>
      <c r="H362" s="53">
        <v>36</v>
      </c>
      <c r="I362" s="51" t="s">
        <v>97</v>
      </c>
      <c r="J362" s="53">
        <v>4</v>
      </c>
      <c r="K362" s="51" t="s">
        <v>131</v>
      </c>
      <c r="L362" s="51" t="s">
        <v>101</v>
      </c>
    </row>
    <row r="363" spans="1:12" hidden="1">
      <c r="A363" s="51" t="s">
        <v>125</v>
      </c>
      <c r="B363" s="52">
        <v>231</v>
      </c>
      <c r="C363" s="52">
        <v>702</v>
      </c>
      <c r="D363" s="53">
        <v>10</v>
      </c>
      <c r="E363" s="51">
        <v>99</v>
      </c>
      <c r="F363" s="51" t="s">
        <v>91</v>
      </c>
      <c r="G363" s="51" t="s">
        <v>126</v>
      </c>
      <c r="H363" s="53">
        <v>26</v>
      </c>
      <c r="I363" s="51" t="s">
        <v>127</v>
      </c>
      <c r="J363" s="53">
        <v>4</v>
      </c>
      <c r="K363" s="51" t="s">
        <v>128</v>
      </c>
      <c r="L363" s="51" t="s">
        <v>101</v>
      </c>
    </row>
    <row r="364" spans="1:12" hidden="1">
      <c r="A364" s="51" t="s">
        <v>139</v>
      </c>
      <c r="B364" s="52">
        <v>0</v>
      </c>
      <c r="C364" s="52">
        <v>2688</v>
      </c>
      <c r="D364" s="53">
        <v>10</v>
      </c>
      <c r="E364" s="51">
        <v>89</v>
      </c>
      <c r="F364" s="51" t="s">
        <v>91</v>
      </c>
      <c r="G364" s="51" t="s">
        <v>126</v>
      </c>
      <c r="H364" s="53">
        <v>47</v>
      </c>
      <c r="I364" s="51" t="s">
        <v>127</v>
      </c>
      <c r="J364" s="53">
        <v>4</v>
      </c>
      <c r="K364" s="51" t="s">
        <v>131</v>
      </c>
      <c r="L364" s="51" t="s">
        <v>101</v>
      </c>
    </row>
    <row r="365" spans="1:12" hidden="1">
      <c r="A365" s="51" t="s">
        <v>125</v>
      </c>
      <c r="B365" s="52">
        <v>17366</v>
      </c>
      <c r="C365" s="52">
        <v>0</v>
      </c>
      <c r="D365" s="53">
        <v>16</v>
      </c>
      <c r="E365" s="51">
        <v>21</v>
      </c>
      <c r="F365" s="51" t="s">
        <v>91</v>
      </c>
      <c r="G365" s="51" t="s">
        <v>126</v>
      </c>
      <c r="H365" s="53">
        <v>38</v>
      </c>
      <c r="I365" s="51" t="s">
        <v>97</v>
      </c>
      <c r="J365" s="53">
        <v>4</v>
      </c>
      <c r="K365" s="51" t="s">
        <v>131</v>
      </c>
      <c r="L365" s="51" t="s">
        <v>94</v>
      </c>
    </row>
    <row r="366" spans="1:12" hidden="1">
      <c r="A366" s="51" t="s">
        <v>125</v>
      </c>
      <c r="B366" s="52">
        <v>0</v>
      </c>
      <c r="C366" s="52">
        <v>425</v>
      </c>
      <c r="D366" s="53">
        <v>13</v>
      </c>
      <c r="E366" s="51">
        <v>10</v>
      </c>
      <c r="F366" s="51" t="s">
        <v>91</v>
      </c>
      <c r="G366" s="51" t="s">
        <v>126</v>
      </c>
      <c r="H366" s="53">
        <v>27</v>
      </c>
      <c r="I366" s="51" t="s">
        <v>135</v>
      </c>
      <c r="J366" s="53">
        <v>2</v>
      </c>
      <c r="K366" s="51" t="s">
        <v>131</v>
      </c>
      <c r="L366" s="51" t="s">
        <v>94</v>
      </c>
    </row>
    <row r="367" spans="1:12" hidden="1">
      <c r="A367" s="51" t="s">
        <v>132</v>
      </c>
      <c r="B367" s="52">
        <v>332</v>
      </c>
      <c r="C367" s="52">
        <v>214</v>
      </c>
      <c r="D367" s="53">
        <v>25</v>
      </c>
      <c r="E367" s="51">
        <v>2</v>
      </c>
      <c r="F367" s="51" t="s">
        <v>91</v>
      </c>
      <c r="G367" s="51" t="s">
        <v>126</v>
      </c>
      <c r="H367" s="53">
        <v>25</v>
      </c>
      <c r="I367" s="51" t="s">
        <v>127</v>
      </c>
      <c r="J367" s="53">
        <v>1</v>
      </c>
      <c r="K367" s="51" t="s">
        <v>131</v>
      </c>
      <c r="L367" s="51" t="s">
        <v>101</v>
      </c>
    </row>
    <row r="368" spans="1:12" hidden="1">
      <c r="A368" s="51" t="s">
        <v>125</v>
      </c>
      <c r="B368" s="52">
        <v>242</v>
      </c>
      <c r="C368" s="52">
        <v>0</v>
      </c>
      <c r="D368" s="53">
        <v>19</v>
      </c>
      <c r="E368" s="51">
        <v>6</v>
      </c>
      <c r="F368" s="51" t="s">
        <v>91</v>
      </c>
      <c r="G368" s="51" t="s">
        <v>126</v>
      </c>
      <c r="H368" s="53">
        <v>28</v>
      </c>
      <c r="I368" s="51" t="s">
        <v>127</v>
      </c>
      <c r="J368" s="53">
        <v>3</v>
      </c>
      <c r="K368" s="51" t="s">
        <v>131</v>
      </c>
      <c r="L368" s="51" t="s">
        <v>101</v>
      </c>
    </row>
    <row r="369" spans="1:12" hidden="1">
      <c r="A369" s="51" t="s">
        <v>132</v>
      </c>
      <c r="B369" s="52">
        <v>0</v>
      </c>
      <c r="C369" s="52">
        <v>272</v>
      </c>
      <c r="D369" s="53">
        <v>7</v>
      </c>
      <c r="E369" s="51">
        <v>90</v>
      </c>
      <c r="F369" s="51" t="s">
        <v>91</v>
      </c>
      <c r="G369" s="51" t="s">
        <v>126</v>
      </c>
      <c r="H369" s="53">
        <v>67</v>
      </c>
      <c r="I369" s="51" t="s">
        <v>127</v>
      </c>
      <c r="J369" s="53">
        <v>4</v>
      </c>
      <c r="K369" s="51" t="s">
        <v>133</v>
      </c>
      <c r="L369" s="51" t="s">
        <v>94</v>
      </c>
    </row>
    <row r="370" spans="1:12" hidden="1">
      <c r="A370" s="51" t="s">
        <v>137</v>
      </c>
      <c r="B370" s="52">
        <v>929</v>
      </c>
      <c r="C370" s="52">
        <v>124</v>
      </c>
      <c r="D370" s="53">
        <v>9</v>
      </c>
      <c r="E370" s="51">
        <v>1</v>
      </c>
      <c r="F370" s="51" t="s">
        <v>91</v>
      </c>
      <c r="G370" s="51" t="s">
        <v>136</v>
      </c>
      <c r="H370" s="53">
        <v>25</v>
      </c>
      <c r="I370" s="51" t="s">
        <v>127</v>
      </c>
      <c r="J370" s="53">
        <v>2</v>
      </c>
      <c r="K370" s="51" t="s">
        <v>131</v>
      </c>
      <c r="L370" s="51" t="s">
        <v>101</v>
      </c>
    </row>
    <row r="371" spans="1:12" hidden="1">
      <c r="A371" s="51" t="s">
        <v>125</v>
      </c>
      <c r="B371" s="52">
        <v>0</v>
      </c>
      <c r="C371" s="52">
        <v>17124</v>
      </c>
      <c r="D371" s="53">
        <v>13</v>
      </c>
      <c r="E371" s="51">
        <v>95</v>
      </c>
      <c r="F371" s="51" t="s">
        <v>91</v>
      </c>
      <c r="G371" s="51" t="s">
        <v>136</v>
      </c>
      <c r="H371" s="53">
        <v>34</v>
      </c>
      <c r="I371" s="51" t="s">
        <v>127</v>
      </c>
      <c r="J371" s="53">
        <v>1</v>
      </c>
      <c r="K371" s="51" t="s">
        <v>131</v>
      </c>
      <c r="L371" s="51" t="s">
        <v>101</v>
      </c>
    </row>
    <row r="372" spans="1:12" hidden="1">
      <c r="A372" s="51" t="s">
        <v>138</v>
      </c>
      <c r="B372" s="52">
        <v>0</v>
      </c>
      <c r="C372" s="52">
        <v>612</v>
      </c>
      <c r="D372" s="53">
        <v>49</v>
      </c>
      <c r="E372" s="51">
        <v>32</v>
      </c>
      <c r="F372" s="51" t="s">
        <v>91</v>
      </c>
      <c r="G372" s="51" t="s">
        <v>126</v>
      </c>
      <c r="H372" s="53">
        <v>38</v>
      </c>
      <c r="I372" s="51" t="s">
        <v>97</v>
      </c>
      <c r="J372" s="53">
        <v>4</v>
      </c>
      <c r="K372" s="51" t="s">
        <v>131</v>
      </c>
      <c r="L372" s="51" t="s">
        <v>94</v>
      </c>
    </row>
    <row r="373" spans="1:12" hidden="1">
      <c r="A373" s="51" t="s">
        <v>132</v>
      </c>
      <c r="B373" s="52">
        <v>0</v>
      </c>
      <c r="C373" s="52">
        <v>862</v>
      </c>
      <c r="D373" s="53">
        <v>49</v>
      </c>
      <c r="E373" s="51">
        <v>62</v>
      </c>
      <c r="F373" s="51" t="s">
        <v>91</v>
      </c>
      <c r="G373" s="51" t="s">
        <v>126</v>
      </c>
      <c r="H373" s="53">
        <v>41</v>
      </c>
      <c r="I373" s="51" t="s">
        <v>97</v>
      </c>
      <c r="J373" s="53">
        <v>4</v>
      </c>
      <c r="K373" s="51" t="s">
        <v>133</v>
      </c>
      <c r="L373" s="51" t="s">
        <v>94</v>
      </c>
    </row>
    <row r="374" spans="1:12" hidden="1">
      <c r="A374" s="51" t="s">
        <v>129</v>
      </c>
      <c r="B374" s="52">
        <v>0</v>
      </c>
      <c r="C374" s="52">
        <v>146</v>
      </c>
      <c r="D374" s="53">
        <v>25</v>
      </c>
      <c r="E374" s="51">
        <v>46</v>
      </c>
      <c r="F374" s="51" t="s">
        <v>91</v>
      </c>
      <c r="G374" s="51" t="s">
        <v>126</v>
      </c>
      <c r="H374" s="53">
        <v>26</v>
      </c>
      <c r="I374" s="51" t="s">
        <v>127</v>
      </c>
      <c r="J374" s="53">
        <v>4</v>
      </c>
      <c r="K374" s="51" t="s">
        <v>131</v>
      </c>
      <c r="L374" s="51" t="s">
        <v>94</v>
      </c>
    </row>
    <row r="375" spans="1:12" hidden="1">
      <c r="A375" s="51" t="s">
        <v>132</v>
      </c>
      <c r="B375" s="52">
        <v>0</v>
      </c>
      <c r="C375" s="52">
        <v>14190</v>
      </c>
      <c r="D375" s="53">
        <v>37</v>
      </c>
      <c r="E375" s="51">
        <v>92</v>
      </c>
      <c r="F375" s="51" t="s">
        <v>91</v>
      </c>
      <c r="G375" s="51" t="s">
        <v>126</v>
      </c>
      <c r="H375" s="53">
        <v>35</v>
      </c>
      <c r="I375" s="51" t="s">
        <v>127</v>
      </c>
      <c r="J375" s="53">
        <v>4</v>
      </c>
      <c r="K375" s="51" t="s">
        <v>131</v>
      </c>
      <c r="L375" s="51" t="s">
        <v>101</v>
      </c>
    </row>
    <row r="376" spans="1:12" hidden="1">
      <c r="A376" s="51" t="s">
        <v>138</v>
      </c>
      <c r="B376" s="52">
        <v>0</v>
      </c>
      <c r="C376" s="52">
        <v>396</v>
      </c>
      <c r="D376" s="53">
        <v>49</v>
      </c>
      <c r="E376" s="51">
        <v>73</v>
      </c>
      <c r="F376" s="51" t="s">
        <v>91</v>
      </c>
      <c r="G376" s="51" t="s">
        <v>126</v>
      </c>
      <c r="H376" s="53">
        <v>45</v>
      </c>
      <c r="I376" s="51" t="s">
        <v>97</v>
      </c>
      <c r="J376" s="53">
        <v>4</v>
      </c>
      <c r="K376" s="51" t="s">
        <v>131</v>
      </c>
      <c r="L376" s="51" t="s">
        <v>94</v>
      </c>
    </row>
    <row r="377" spans="1:12" hidden="1">
      <c r="A377" s="51" t="s">
        <v>125</v>
      </c>
      <c r="B377" s="52">
        <v>0</v>
      </c>
      <c r="C377" s="52">
        <v>519</v>
      </c>
      <c r="D377" s="53">
        <v>31</v>
      </c>
      <c r="E377" s="51">
        <v>23</v>
      </c>
      <c r="F377" s="51" t="s">
        <v>96</v>
      </c>
      <c r="G377" s="51" t="s">
        <v>130</v>
      </c>
      <c r="H377" s="53">
        <v>32</v>
      </c>
      <c r="I377" s="51" t="s">
        <v>127</v>
      </c>
      <c r="J377" s="53">
        <v>2</v>
      </c>
      <c r="K377" s="51" t="s">
        <v>131</v>
      </c>
      <c r="L377" s="51" t="s">
        <v>101</v>
      </c>
    </row>
    <row r="378" spans="1:12" hidden="1">
      <c r="A378" s="51" t="s">
        <v>138</v>
      </c>
      <c r="B378" s="52">
        <v>646</v>
      </c>
      <c r="C378" s="52">
        <v>0</v>
      </c>
      <c r="D378" s="53">
        <v>25</v>
      </c>
      <c r="E378" s="51">
        <v>9</v>
      </c>
      <c r="F378" s="51" t="s">
        <v>91</v>
      </c>
      <c r="G378" s="51" t="s">
        <v>130</v>
      </c>
      <c r="H378" s="53">
        <v>47</v>
      </c>
      <c r="I378" s="51" t="s">
        <v>97</v>
      </c>
      <c r="J378" s="53">
        <v>4</v>
      </c>
      <c r="K378" s="51" t="s">
        <v>131</v>
      </c>
      <c r="L378" s="51" t="s">
        <v>101</v>
      </c>
    </row>
    <row r="379" spans="1:12" hidden="1">
      <c r="A379" s="51" t="s">
        <v>132</v>
      </c>
      <c r="B379" s="52">
        <v>538</v>
      </c>
      <c r="C379" s="52">
        <v>344</v>
      </c>
      <c r="D379" s="53">
        <v>13</v>
      </c>
      <c r="E379" s="51">
        <v>40</v>
      </c>
      <c r="F379" s="51" t="s">
        <v>91</v>
      </c>
      <c r="G379" s="51" t="s">
        <v>136</v>
      </c>
      <c r="H379" s="53">
        <v>24</v>
      </c>
      <c r="I379" s="51" t="s">
        <v>127</v>
      </c>
      <c r="J379" s="53">
        <v>3</v>
      </c>
      <c r="K379" s="51" t="s">
        <v>128</v>
      </c>
      <c r="L379" s="51" t="s">
        <v>94</v>
      </c>
    </row>
    <row r="380" spans="1:12" hidden="1">
      <c r="A380" s="51" t="s">
        <v>129</v>
      </c>
      <c r="B380" s="52">
        <v>0</v>
      </c>
      <c r="C380" s="52">
        <v>204</v>
      </c>
      <c r="D380" s="53">
        <v>31</v>
      </c>
      <c r="E380" s="51">
        <v>5</v>
      </c>
      <c r="F380" s="51" t="s">
        <v>91</v>
      </c>
      <c r="G380" s="51" t="s">
        <v>130</v>
      </c>
      <c r="H380" s="53">
        <v>30</v>
      </c>
      <c r="I380" s="51" t="s">
        <v>127</v>
      </c>
      <c r="J380" s="53">
        <v>4</v>
      </c>
      <c r="K380" s="51" t="s">
        <v>128</v>
      </c>
      <c r="L380" s="51" t="s">
        <v>94</v>
      </c>
    </row>
    <row r="381" spans="1:12" hidden="1">
      <c r="A381" s="51" t="s">
        <v>125</v>
      </c>
      <c r="B381" s="52">
        <v>0</v>
      </c>
      <c r="C381" s="52">
        <v>148</v>
      </c>
      <c r="D381" s="53">
        <v>43</v>
      </c>
      <c r="E381" s="51">
        <v>2</v>
      </c>
      <c r="F381" s="51" t="s">
        <v>91</v>
      </c>
      <c r="G381" s="51" t="s">
        <v>126</v>
      </c>
      <c r="H381" s="53">
        <v>33</v>
      </c>
      <c r="I381" s="51" t="s">
        <v>127</v>
      </c>
      <c r="J381" s="53">
        <v>3</v>
      </c>
      <c r="K381" s="51" t="s">
        <v>131</v>
      </c>
      <c r="L381" s="51" t="s">
        <v>94</v>
      </c>
    </row>
    <row r="382" spans="1:12" hidden="1">
      <c r="A382" s="51" t="s">
        <v>129</v>
      </c>
      <c r="B382" s="52">
        <v>0</v>
      </c>
      <c r="C382" s="52">
        <v>435</v>
      </c>
      <c r="D382" s="53">
        <v>19</v>
      </c>
      <c r="E382" s="51">
        <v>16</v>
      </c>
      <c r="F382" s="51" t="s">
        <v>96</v>
      </c>
      <c r="G382" s="51" t="s">
        <v>130</v>
      </c>
      <c r="H382" s="53">
        <v>23</v>
      </c>
      <c r="I382" s="51" t="s">
        <v>135</v>
      </c>
      <c r="J382" s="53">
        <v>4</v>
      </c>
      <c r="K382" s="51" t="s">
        <v>131</v>
      </c>
      <c r="L382" s="51" t="s">
        <v>94</v>
      </c>
    </row>
    <row r="383" spans="1:12" hidden="1">
      <c r="A383" s="51" t="s">
        <v>125</v>
      </c>
      <c r="B383" s="52">
        <v>0</v>
      </c>
      <c r="C383" s="52">
        <v>914</v>
      </c>
      <c r="D383" s="53">
        <v>19</v>
      </c>
      <c r="E383" s="51">
        <v>0</v>
      </c>
      <c r="F383" s="51" t="s">
        <v>96</v>
      </c>
      <c r="G383" s="51" t="s">
        <v>130</v>
      </c>
      <c r="H383" s="53">
        <v>21</v>
      </c>
      <c r="I383" s="51" t="s">
        <v>135</v>
      </c>
      <c r="J383" s="53">
        <v>4</v>
      </c>
      <c r="K383" s="51" t="s">
        <v>131</v>
      </c>
      <c r="L383" s="51" t="s">
        <v>94</v>
      </c>
    </row>
    <row r="384" spans="1:12" hidden="1">
      <c r="A384" s="51" t="s">
        <v>132</v>
      </c>
      <c r="B384" s="52">
        <v>135</v>
      </c>
      <c r="C384" s="52">
        <v>0</v>
      </c>
      <c r="D384" s="53">
        <v>37</v>
      </c>
      <c r="E384" s="51">
        <v>7</v>
      </c>
      <c r="F384" s="51" t="s">
        <v>91</v>
      </c>
      <c r="G384" s="51" t="s">
        <v>126</v>
      </c>
      <c r="H384" s="53">
        <v>36</v>
      </c>
      <c r="I384" s="51" t="s">
        <v>97</v>
      </c>
      <c r="J384" s="53">
        <v>4</v>
      </c>
      <c r="K384" s="51" t="s">
        <v>131</v>
      </c>
      <c r="L384" s="51" t="s">
        <v>94</v>
      </c>
    </row>
    <row r="385" spans="1:12" hidden="1">
      <c r="A385" s="51" t="s">
        <v>138</v>
      </c>
      <c r="B385" s="52">
        <v>2472</v>
      </c>
      <c r="C385" s="52">
        <v>0</v>
      </c>
      <c r="D385" s="53">
        <v>37</v>
      </c>
      <c r="E385" s="51">
        <v>41</v>
      </c>
      <c r="F385" s="51" t="s">
        <v>91</v>
      </c>
      <c r="G385" s="51" t="s">
        <v>126</v>
      </c>
      <c r="H385" s="53">
        <v>30</v>
      </c>
      <c r="I385" s="51" t="s">
        <v>127</v>
      </c>
      <c r="J385" s="53">
        <v>2</v>
      </c>
      <c r="K385" s="51" t="s">
        <v>133</v>
      </c>
      <c r="L385" s="51" t="s">
        <v>101</v>
      </c>
    </row>
    <row r="386" spans="1:12" hidden="1">
      <c r="A386" s="51" t="s">
        <v>132</v>
      </c>
      <c r="B386" s="52">
        <v>0</v>
      </c>
      <c r="C386" s="52">
        <v>412</v>
      </c>
      <c r="D386" s="53">
        <v>25</v>
      </c>
      <c r="E386" s="51">
        <v>22</v>
      </c>
      <c r="F386" s="51" t="s">
        <v>91</v>
      </c>
      <c r="G386" s="51" t="s">
        <v>126</v>
      </c>
      <c r="H386" s="53">
        <v>52</v>
      </c>
      <c r="I386" s="51" t="s">
        <v>97</v>
      </c>
      <c r="J386" s="53">
        <v>4</v>
      </c>
      <c r="K386" s="51" t="s">
        <v>131</v>
      </c>
      <c r="L386" s="51" t="s">
        <v>94</v>
      </c>
    </row>
    <row r="387" spans="1:12" hidden="1">
      <c r="A387" s="51" t="s">
        <v>132</v>
      </c>
      <c r="B387" s="52">
        <v>10417</v>
      </c>
      <c r="C387" s="52">
        <v>19811</v>
      </c>
      <c r="D387" s="53">
        <v>13</v>
      </c>
      <c r="E387" s="51">
        <v>27</v>
      </c>
      <c r="F387" s="51" t="s">
        <v>91</v>
      </c>
      <c r="G387" s="51" t="s">
        <v>136</v>
      </c>
      <c r="H387" s="53">
        <v>27</v>
      </c>
      <c r="I387" s="51" t="s">
        <v>127</v>
      </c>
      <c r="J387" s="53">
        <v>2</v>
      </c>
      <c r="K387" s="51" t="s">
        <v>131</v>
      </c>
      <c r="L387" s="51" t="s">
        <v>94</v>
      </c>
    </row>
    <row r="388" spans="1:12" hidden="1">
      <c r="A388" s="51" t="s">
        <v>125</v>
      </c>
      <c r="B388" s="52">
        <v>211</v>
      </c>
      <c r="C388" s="52">
        <v>822</v>
      </c>
      <c r="D388" s="53">
        <v>8</v>
      </c>
      <c r="E388" s="51">
        <v>5</v>
      </c>
      <c r="F388" s="51" t="s">
        <v>96</v>
      </c>
      <c r="G388" s="51" t="s">
        <v>130</v>
      </c>
      <c r="H388" s="53">
        <v>44</v>
      </c>
      <c r="I388" s="51" t="s">
        <v>127</v>
      </c>
      <c r="J388" s="53">
        <v>1</v>
      </c>
      <c r="K388" s="51" t="s">
        <v>131</v>
      </c>
      <c r="L388" s="51" t="s">
        <v>101</v>
      </c>
    </row>
    <row r="389" spans="1:12" hidden="1">
      <c r="A389" s="51" t="s">
        <v>125</v>
      </c>
      <c r="B389" s="52">
        <v>16630</v>
      </c>
      <c r="C389" s="52">
        <v>0</v>
      </c>
      <c r="D389" s="53">
        <v>11</v>
      </c>
      <c r="E389" s="51">
        <v>47</v>
      </c>
      <c r="F389" s="51" t="s">
        <v>91</v>
      </c>
      <c r="G389" s="51" t="s">
        <v>126</v>
      </c>
      <c r="H389" s="53">
        <v>26</v>
      </c>
      <c r="I389" s="51" t="s">
        <v>127</v>
      </c>
      <c r="J389" s="53">
        <v>2</v>
      </c>
      <c r="K389" s="51" t="s">
        <v>131</v>
      </c>
      <c r="L389" s="51" t="s">
        <v>101</v>
      </c>
    </row>
    <row r="390" spans="1:12" hidden="1">
      <c r="A390" s="51" t="s">
        <v>129</v>
      </c>
      <c r="B390" s="52">
        <v>0</v>
      </c>
      <c r="C390" s="52">
        <v>3369</v>
      </c>
      <c r="D390" s="53">
        <v>25</v>
      </c>
      <c r="E390" s="51">
        <v>17</v>
      </c>
      <c r="F390" s="51" t="s">
        <v>91</v>
      </c>
      <c r="G390" s="51" t="s">
        <v>126</v>
      </c>
      <c r="H390" s="53">
        <v>24</v>
      </c>
      <c r="I390" s="51" t="s">
        <v>127</v>
      </c>
      <c r="J390" s="53">
        <v>1</v>
      </c>
      <c r="K390" s="51" t="s">
        <v>131</v>
      </c>
      <c r="L390" s="51" t="s">
        <v>101</v>
      </c>
    </row>
    <row r="391" spans="1:12" hidden="1">
      <c r="A391" s="51" t="s">
        <v>129</v>
      </c>
      <c r="B391" s="52">
        <v>642</v>
      </c>
      <c r="C391" s="52">
        <v>0</v>
      </c>
      <c r="D391" s="53">
        <v>13</v>
      </c>
      <c r="E391" s="51">
        <v>65</v>
      </c>
      <c r="F391" s="51" t="s">
        <v>96</v>
      </c>
      <c r="G391" s="51" t="s">
        <v>130</v>
      </c>
      <c r="H391" s="53">
        <v>24</v>
      </c>
      <c r="I391" s="51" t="s">
        <v>127</v>
      </c>
      <c r="J391" s="53">
        <v>2</v>
      </c>
      <c r="K391" s="51" t="s">
        <v>131</v>
      </c>
      <c r="L391" s="51" t="s">
        <v>94</v>
      </c>
    </row>
    <row r="392" spans="1:12" hidden="1">
      <c r="A392" s="51" t="s">
        <v>125</v>
      </c>
      <c r="B392" s="52">
        <v>0</v>
      </c>
      <c r="C392" s="52">
        <v>707</v>
      </c>
      <c r="D392" s="53">
        <v>7</v>
      </c>
      <c r="E392" s="51">
        <v>26</v>
      </c>
      <c r="F392" s="51" t="s">
        <v>91</v>
      </c>
      <c r="G392" s="51" t="s">
        <v>126</v>
      </c>
      <c r="H392" s="53">
        <v>50</v>
      </c>
      <c r="I392" s="51" t="s">
        <v>127</v>
      </c>
      <c r="J392" s="53">
        <v>2</v>
      </c>
      <c r="K392" s="51" t="s">
        <v>131</v>
      </c>
      <c r="L392" s="51" t="s">
        <v>101</v>
      </c>
    </row>
    <row r="393" spans="1:12" hidden="1">
      <c r="A393" s="51" t="s">
        <v>125</v>
      </c>
      <c r="B393" s="52">
        <v>296</v>
      </c>
      <c r="C393" s="52">
        <v>818</v>
      </c>
      <c r="D393" s="53">
        <v>19</v>
      </c>
      <c r="E393" s="51">
        <v>93</v>
      </c>
      <c r="F393" s="51" t="s">
        <v>91</v>
      </c>
      <c r="G393" s="51" t="s">
        <v>136</v>
      </c>
      <c r="H393" s="53">
        <v>31</v>
      </c>
      <c r="I393" s="51" t="s">
        <v>127</v>
      </c>
      <c r="J393" s="53">
        <v>2</v>
      </c>
      <c r="K393" s="51" t="s">
        <v>128</v>
      </c>
      <c r="L393" s="51" t="s">
        <v>101</v>
      </c>
    </row>
    <row r="394" spans="1:12" hidden="1">
      <c r="A394" s="51" t="s">
        <v>137</v>
      </c>
      <c r="B394" s="52">
        <v>898</v>
      </c>
      <c r="C394" s="52">
        <v>177</v>
      </c>
      <c r="D394" s="53">
        <v>22</v>
      </c>
      <c r="E394" s="51">
        <v>105</v>
      </c>
      <c r="F394" s="51" t="s">
        <v>96</v>
      </c>
      <c r="G394" s="51" t="s">
        <v>130</v>
      </c>
      <c r="H394" s="53">
        <v>38</v>
      </c>
      <c r="I394" s="51" t="s">
        <v>127</v>
      </c>
      <c r="J394" s="53">
        <v>4</v>
      </c>
      <c r="K394" s="51" t="s">
        <v>131</v>
      </c>
      <c r="L394" s="51" t="s">
        <v>94</v>
      </c>
    </row>
    <row r="395" spans="1:12" hidden="1">
      <c r="A395" s="51" t="s">
        <v>132</v>
      </c>
      <c r="B395" s="52">
        <v>478</v>
      </c>
      <c r="C395" s="52">
        <v>4071</v>
      </c>
      <c r="D395" s="53">
        <v>10</v>
      </c>
      <c r="E395" s="51">
        <v>40</v>
      </c>
      <c r="F395" s="51" t="s">
        <v>91</v>
      </c>
      <c r="G395" s="51" t="s">
        <v>126</v>
      </c>
      <c r="H395" s="53">
        <v>28</v>
      </c>
      <c r="I395" s="51" t="s">
        <v>127</v>
      </c>
      <c r="J395" s="53">
        <v>3</v>
      </c>
      <c r="K395" s="51" t="s">
        <v>131</v>
      </c>
      <c r="L395" s="51" t="s">
        <v>94</v>
      </c>
    </row>
    <row r="396" spans="1:12" hidden="1">
      <c r="A396" s="51" t="s">
        <v>132</v>
      </c>
      <c r="B396" s="52">
        <v>315</v>
      </c>
      <c r="C396" s="52">
        <v>466</v>
      </c>
      <c r="D396" s="53">
        <v>13</v>
      </c>
      <c r="E396" s="51">
        <v>3</v>
      </c>
      <c r="F396" s="51" t="s">
        <v>91</v>
      </c>
      <c r="G396" s="51" t="s">
        <v>126</v>
      </c>
      <c r="H396" s="53">
        <v>48</v>
      </c>
      <c r="I396" s="51" t="s">
        <v>127</v>
      </c>
      <c r="J396" s="53">
        <v>3</v>
      </c>
      <c r="K396" s="51" t="s">
        <v>128</v>
      </c>
      <c r="L396" s="51" t="s">
        <v>101</v>
      </c>
    </row>
    <row r="397" spans="1:12" hidden="1">
      <c r="A397" s="51" t="s">
        <v>132</v>
      </c>
      <c r="B397" s="52">
        <v>122</v>
      </c>
      <c r="C397" s="52">
        <v>460</v>
      </c>
      <c r="D397" s="53">
        <v>37</v>
      </c>
      <c r="E397" s="51">
        <v>109</v>
      </c>
      <c r="F397" s="51" t="s">
        <v>91</v>
      </c>
      <c r="G397" s="51" t="s">
        <v>126</v>
      </c>
      <c r="H397" s="53">
        <v>56</v>
      </c>
      <c r="I397" s="51" t="s">
        <v>97</v>
      </c>
      <c r="J397" s="53">
        <v>2</v>
      </c>
      <c r="K397" s="51" t="s">
        <v>133</v>
      </c>
      <c r="L397" s="51" t="s">
        <v>94</v>
      </c>
    </row>
    <row r="398" spans="1:12" hidden="1">
      <c r="A398" s="51" t="s">
        <v>129</v>
      </c>
      <c r="B398" s="52">
        <v>0</v>
      </c>
      <c r="C398" s="52">
        <v>991</v>
      </c>
      <c r="D398" s="53">
        <v>7</v>
      </c>
      <c r="E398" s="51">
        <v>3</v>
      </c>
      <c r="F398" s="51" t="s">
        <v>96</v>
      </c>
      <c r="G398" s="51" t="s">
        <v>130</v>
      </c>
      <c r="H398" s="53">
        <v>31</v>
      </c>
      <c r="I398" s="51" t="s">
        <v>127</v>
      </c>
      <c r="J398" s="53">
        <v>4</v>
      </c>
      <c r="K398" s="51" t="s">
        <v>131</v>
      </c>
      <c r="L398" s="51" t="s">
        <v>94</v>
      </c>
    </row>
    <row r="399" spans="1:12" hidden="1">
      <c r="A399" s="51" t="s">
        <v>125</v>
      </c>
      <c r="B399" s="52">
        <v>0</v>
      </c>
      <c r="C399" s="52">
        <v>17653</v>
      </c>
      <c r="D399" s="53">
        <v>22</v>
      </c>
      <c r="E399" s="51">
        <v>4</v>
      </c>
      <c r="F399" s="51" t="s">
        <v>96</v>
      </c>
      <c r="G399" s="51" t="s">
        <v>130</v>
      </c>
      <c r="H399" s="53">
        <v>28</v>
      </c>
      <c r="I399" s="51" t="s">
        <v>127</v>
      </c>
      <c r="J399" s="53">
        <v>2</v>
      </c>
      <c r="K399" s="51" t="s">
        <v>131</v>
      </c>
      <c r="L399" s="51" t="s">
        <v>101</v>
      </c>
    </row>
    <row r="400" spans="1:12" hidden="1">
      <c r="A400" s="51" t="s">
        <v>134</v>
      </c>
      <c r="B400" s="52">
        <v>0</v>
      </c>
      <c r="C400" s="52">
        <v>497</v>
      </c>
      <c r="D400" s="53">
        <v>41</v>
      </c>
      <c r="E400" s="51">
        <v>24</v>
      </c>
      <c r="F400" s="51" t="s">
        <v>91</v>
      </c>
      <c r="G400" s="51" t="s">
        <v>126</v>
      </c>
      <c r="H400" s="53">
        <v>26</v>
      </c>
      <c r="I400" s="51" t="s">
        <v>127</v>
      </c>
      <c r="J400" s="53">
        <v>3</v>
      </c>
      <c r="K400" s="51" t="s">
        <v>131</v>
      </c>
      <c r="L400" s="51" t="s">
        <v>94</v>
      </c>
    </row>
    <row r="401" spans="1:12" hidden="1">
      <c r="A401" s="51" t="s">
        <v>137</v>
      </c>
      <c r="B401" s="52">
        <v>670</v>
      </c>
      <c r="C401" s="52">
        <v>4014</v>
      </c>
      <c r="D401" s="53">
        <v>31</v>
      </c>
      <c r="E401" s="51">
        <v>21</v>
      </c>
      <c r="F401" s="51" t="s">
        <v>96</v>
      </c>
      <c r="G401" s="51" t="s">
        <v>130</v>
      </c>
      <c r="H401" s="53">
        <v>25</v>
      </c>
      <c r="I401" s="51" t="s">
        <v>135</v>
      </c>
      <c r="J401" s="53">
        <v>4</v>
      </c>
      <c r="K401" s="51" t="s">
        <v>128</v>
      </c>
      <c r="L401" s="51" t="s">
        <v>94</v>
      </c>
    </row>
    <row r="402" spans="1:12" hidden="1">
      <c r="A402" s="51" t="s">
        <v>137</v>
      </c>
      <c r="B402" s="52">
        <v>444</v>
      </c>
      <c r="C402" s="52">
        <v>921</v>
      </c>
      <c r="D402" s="53">
        <v>28</v>
      </c>
      <c r="E402" s="51">
        <v>51</v>
      </c>
      <c r="F402" s="51" t="s">
        <v>96</v>
      </c>
      <c r="G402" s="51" t="s">
        <v>130</v>
      </c>
      <c r="H402" s="53">
        <v>41</v>
      </c>
      <c r="I402" s="51" t="s">
        <v>97</v>
      </c>
      <c r="J402" s="53">
        <v>4</v>
      </c>
      <c r="K402" s="51" t="s">
        <v>133</v>
      </c>
      <c r="L402" s="51" t="s">
        <v>94</v>
      </c>
    </row>
    <row r="403" spans="1:12" hidden="1">
      <c r="A403" s="51" t="s">
        <v>132</v>
      </c>
      <c r="B403" s="52">
        <v>3880</v>
      </c>
      <c r="C403" s="52">
        <v>0</v>
      </c>
      <c r="D403" s="53">
        <v>23</v>
      </c>
      <c r="E403" s="51">
        <v>37</v>
      </c>
      <c r="F403" s="51" t="s">
        <v>96</v>
      </c>
      <c r="G403" s="51" t="s">
        <v>130</v>
      </c>
      <c r="H403" s="53">
        <v>24</v>
      </c>
      <c r="I403" s="51" t="s">
        <v>135</v>
      </c>
      <c r="J403" s="53">
        <v>4</v>
      </c>
      <c r="K403" s="51" t="s">
        <v>131</v>
      </c>
      <c r="L403" s="51" t="s">
        <v>101</v>
      </c>
    </row>
    <row r="404" spans="1:12" hidden="1">
      <c r="A404" s="51" t="s">
        <v>138</v>
      </c>
      <c r="B404" s="52">
        <v>819</v>
      </c>
      <c r="C404" s="52">
        <v>0</v>
      </c>
      <c r="D404" s="53">
        <v>13</v>
      </c>
      <c r="E404" s="51">
        <v>23</v>
      </c>
      <c r="F404" s="51" t="s">
        <v>91</v>
      </c>
      <c r="G404" s="51" t="s">
        <v>126</v>
      </c>
      <c r="H404" s="53">
        <v>29</v>
      </c>
      <c r="I404" s="51" t="s">
        <v>127</v>
      </c>
      <c r="J404" s="53">
        <v>2</v>
      </c>
      <c r="K404" s="51" t="s">
        <v>131</v>
      </c>
      <c r="L404" s="51" t="s">
        <v>101</v>
      </c>
    </row>
    <row r="405" spans="1:12" hidden="1">
      <c r="A405" s="51" t="s">
        <v>138</v>
      </c>
      <c r="B405" s="52">
        <v>0</v>
      </c>
      <c r="C405" s="52">
        <v>607</v>
      </c>
      <c r="D405" s="53">
        <v>37</v>
      </c>
      <c r="E405" s="51">
        <v>17</v>
      </c>
      <c r="F405" s="51" t="s">
        <v>91</v>
      </c>
      <c r="G405" s="51" t="s">
        <v>126</v>
      </c>
      <c r="H405" s="53">
        <v>25</v>
      </c>
      <c r="I405" s="51" t="s">
        <v>127</v>
      </c>
      <c r="J405" s="53">
        <v>2</v>
      </c>
      <c r="K405" s="51" t="s">
        <v>131</v>
      </c>
      <c r="L405" s="51" t="s">
        <v>94</v>
      </c>
    </row>
    <row r="406" spans="1:12" hidden="1">
      <c r="A406" s="51" t="s">
        <v>142</v>
      </c>
      <c r="B406" s="52">
        <v>0</v>
      </c>
      <c r="C406" s="52">
        <v>15800</v>
      </c>
      <c r="D406" s="53">
        <v>16</v>
      </c>
      <c r="E406" s="51">
        <v>40</v>
      </c>
      <c r="F406" s="51" t="s">
        <v>91</v>
      </c>
      <c r="G406" s="51" t="s">
        <v>126</v>
      </c>
      <c r="H406" s="53">
        <v>35</v>
      </c>
      <c r="I406" s="51" t="s">
        <v>127</v>
      </c>
      <c r="J406" s="53">
        <v>3</v>
      </c>
      <c r="K406" s="51" t="s">
        <v>131</v>
      </c>
      <c r="L406" s="51" t="s">
        <v>101</v>
      </c>
    </row>
    <row r="407" spans="1:12" hidden="1">
      <c r="A407" s="51" t="s">
        <v>129</v>
      </c>
      <c r="B407" s="52">
        <v>0</v>
      </c>
      <c r="C407" s="52">
        <v>369</v>
      </c>
      <c r="D407" s="53">
        <v>7</v>
      </c>
      <c r="E407" s="51">
        <v>23</v>
      </c>
      <c r="F407" s="51" t="s">
        <v>91</v>
      </c>
      <c r="G407" s="51" t="s">
        <v>126</v>
      </c>
      <c r="H407" s="53">
        <v>35</v>
      </c>
      <c r="I407" s="51" t="s">
        <v>127</v>
      </c>
      <c r="J407" s="53">
        <v>2</v>
      </c>
      <c r="K407" s="51" t="s">
        <v>128</v>
      </c>
      <c r="L407" s="51" t="s">
        <v>101</v>
      </c>
    </row>
    <row r="408" spans="1:12" hidden="1">
      <c r="A408" s="51" t="s">
        <v>137</v>
      </c>
      <c r="B408" s="52">
        <v>0</v>
      </c>
      <c r="C408" s="52">
        <v>4973</v>
      </c>
      <c r="D408" s="53">
        <v>25</v>
      </c>
      <c r="E408" s="51">
        <v>17</v>
      </c>
      <c r="F408" s="51" t="s">
        <v>91</v>
      </c>
      <c r="G408" s="51" t="s">
        <v>126</v>
      </c>
      <c r="H408" s="53">
        <v>26</v>
      </c>
      <c r="I408" s="51" t="s">
        <v>127</v>
      </c>
      <c r="J408" s="53">
        <v>3</v>
      </c>
      <c r="K408" s="51" t="s">
        <v>128</v>
      </c>
      <c r="L408" s="51" t="s">
        <v>101</v>
      </c>
    </row>
    <row r="409" spans="1:12" hidden="1">
      <c r="A409" s="51" t="s">
        <v>129</v>
      </c>
      <c r="B409" s="52">
        <v>0</v>
      </c>
      <c r="C409" s="52">
        <v>0</v>
      </c>
      <c r="D409" s="53">
        <v>40</v>
      </c>
      <c r="E409" s="51">
        <v>30</v>
      </c>
      <c r="F409" s="51" t="s">
        <v>91</v>
      </c>
      <c r="G409" s="51" t="s">
        <v>126</v>
      </c>
      <c r="H409" s="53">
        <v>29</v>
      </c>
      <c r="I409" s="51" t="s">
        <v>127</v>
      </c>
      <c r="J409" s="53">
        <v>4</v>
      </c>
      <c r="K409" s="51" t="s">
        <v>133</v>
      </c>
      <c r="L409" s="51" t="s">
        <v>101</v>
      </c>
    </row>
    <row r="410" spans="1:12" hidden="1">
      <c r="A410" s="51" t="s">
        <v>132</v>
      </c>
      <c r="B410" s="52">
        <v>0</v>
      </c>
      <c r="C410" s="52">
        <v>761</v>
      </c>
      <c r="D410" s="53">
        <v>25</v>
      </c>
      <c r="E410" s="51">
        <v>92</v>
      </c>
      <c r="F410" s="51" t="s">
        <v>91</v>
      </c>
      <c r="G410" s="51" t="s">
        <v>126</v>
      </c>
      <c r="H410" s="53">
        <v>59</v>
      </c>
      <c r="I410" s="51" t="s">
        <v>127</v>
      </c>
      <c r="J410" s="53">
        <v>4</v>
      </c>
      <c r="K410" s="51" t="s">
        <v>128</v>
      </c>
      <c r="L410" s="51" t="s">
        <v>94</v>
      </c>
    </row>
    <row r="411" spans="1:12" hidden="1">
      <c r="A411" s="51" t="s">
        <v>134</v>
      </c>
      <c r="B411" s="52">
        <v>0</v>
      </c>
      <c r="C411" s="52">
        <v>471</v>
      </c>
      <c r="D411" s="53">
        <v>7</v>
      </c>
      <c r="E411" s="51">
        <v>52</v>
      </c>
      <c r="F411" s="51" t="s">
        <v>96</v>
      </c>
      <c r="G411" s="51" t="s">
        <v>130</v>
      </c>
      <c r="H411" s="53">
        <v>34</v>
      </c>
      <c r="I411" s="51" t="s">
        <v>97</v>
      </c>
      <c r="J411" s="53">
        <v>4</v>
      </c>
      <c r="K411" s="51" t="s">
        <v>131</v>
      </c>
      <c r="L411" s="51" t="s">
        <v>94</v>
      </c>
    </row>
    <row r="412" spans="1:12" hidden="1">
      <c r="A412" s="51" t="s">
        <v>138</v>
      </c>
      <c r="B412" s="52">
        <v>0</v>
      </c>
      <c r="C412" s="52">
        <v>674</v>
      </c>
      <c r="D412" s="53">
        <v>37</v>
      </c>
      <c r="E412" s="51">
        <v>69</v>
      </c>
      <c r="F412" s="51" t="s">
        <v>91</v>
      </c>
      <c r="G412" s="51" t="s">
        <v>126</v>
      </c>
      <c r="H412" s="53">
        <v>41</v>
      </c>
      <c r="I412" s="51" t="s">
        <v>97</v>
      </c>
      <c r="J412" s="53">
        <v>4</v>
      </c>
      <c r="K412" s="51" t="s">
        <v>131</v>
      </c>
      <c r="L412" s="51" t="s">
        <v>101</v>
      </c>
    </row>
    <row r="413" spans="1:12" hidden="1">
      <c r="A413" s="51" t="s">
        <v>132</v>
      </c>
      <c r="B413" s="52">
        <v>0</v>
      </c>
      <c r="C413" s="52">
        <v>547</v>
      </c>
      <c r="D413" s="53">
        <v>13</v>
      </c>
      <c r="E413" s="51">
        <v>40</v>
      </c>
      <c r="F413" s="51" t="s">
        <v>91</v>
      </c>
      <c r="G413" s="51" t="s">
        <v>130</v>
      </c>
      <c r="H413" s="53">
        <v>35</v>
      </c>
      <c r="I413" s="51" t="s">
        <v>127</v>
      </c>
      <c r="J413" s="53">
        <v>3</v>
      </c>
      <c r="K413" s="51" t="s">
        <v>131</v>
      </c>
      <c r="L413" s="51" t="s">
        <v>94</v>
      </c>
    </row>
    <row r="414" spans="1:12" hidden="1">
      <c r="A414" s="51" t="s">
        <v>129</v>
      </c>
      <c r="B414" s="52">
        <v>161</v>
      </c>
      <c r="C414" s="52">
        <v>524</v>
      </c>
      <c r="D414" s="53">
        <v>13</v>
      </c>
      <c r="E414" s="51">
        <v>106</v>
      </c>
      <c r="F414" s="51" t="s">
        <v>91</v>
      </c>
      <c r="G414" s="51" t="s">
        <v>126</v>
      </c>
      <c r="H414" s="53">
        <v>27</v>
      </c>
      <c r="I414" s="51" t="s">
        <v>135</v>
      </c>
      <c r="J414" s="53">
        <v>4</v>
      </c>
      <c r="K414" s="51" t="s">
        <v>131</v>
      </c>
      <c r="L414" s="51" t="s">
        <v>101</v>
      </c>
    </row>
    <row r="415" spans="1:12" hidden="1">
      <c r="A415" s="51" t="s">
        <v>129</v>
      </c>
      <c r="B415" s="52">
        <v>0</v>
      </c>
      <c r="C415" s="52">
        <v>815</v>
      </c>
      <c r="D415" s="53">
        <v>19</v>
      </c>
      <c r="E415" s="51">
        <v>13</v>
      </c>
      <c r="F415" s="51" t="s">
        <v>91</v>
      </c>
      <c r="G415" s="51" t="s">
        <v>126</v>
      </c>
      <c r="H415" s="53">
        <v>41</v>
      </c>
      <c r="I415" s="51" t="s">
        <v>127</v>
      </c>
      <c r="J415" s="53">
        <v>3</v>
      </c>
      <c r="K415" s="51" t="s">
        <v>131</v>
      </c>
      <c r="L415" s="51" t="s">
        <v>94</v>
      </c>
    </row>
    <row r="416" spans="1:12" hidden="1">
      <c r="A416" s="51" t="s">
        <v>138</v>
      </c>
      <c r="B416" s="52">
        <v>0</v>
      </c>
      <c r="C416" s="52">
        <v>0</v>
      </c>
      <c r="D416" s="53">
        <v>11</v>
      </c>
      <c r="E416" s="51">
        <v>4</v>
      </c>
      <c r="F416" s="51" t="s">
        <v>96</v>
      </c>
      <c r="G416" s="51" t="s">
        <v>130</v>
      </c>
      <c r="H416" s="53">
        <v>30</v>
      </c>
      <c r="I416" s="51" t="s">
        <v>135</v>
      </c>
      <c r="J416" s="53">
        <v>4</v>
      </c>
      <c r="K416" s="51" t="s">
        <v>131</v>
      </c>
      <c r="L416" s="51" t="s">
        <v>101</v>
      </c>
    </row>
    <row r="417" spans="1:12" hidden="1">
      <c r="A417" s="51" t="s">
        <v>132</v>
      </c>
      <c r="B417" s="52">
        <v>789</v>
      </c>
      <c r="C417" s="52">
        <v>989</v>
      </c>
      <c r="D417" s="53">
        <v>31</v>
      </c>
      <c r="E417" s="51">
        <v>0</v>
      </c>
      <c r="F417" s="51" t="s">
        <v>91</v>
      </c>
      <c r="G417" s="51" t="s">
        <v>136</v>
      </c>
      <c r="H417" s="53">
        <v>27</v>
      </c>
      <c r="I417" s="51" t="s">
        <v>127</v>
      </c>
      <c r="J417" s="53">
        <v>2</v>
      </c>
      <c r="K417" s="51" t="s">
        <v>133</v>
      </c>
      <c r="L417" s="51" t="s">
        <v>94</v>
      </c>
    </row>
    <row r="418" spans="1:12" hidden="1">
      <c r="A418" s="51" t="s">
        <v>125</v>
      </c>
      <c r="B418" s="52">
        <v>765</v>
      </c>
      <c r="C418" s="52">
        <v>10406</v>
      </c>
      <c r="D418" s="53">
        <v>10</v>
      </c>
      <c r="E418" s="51">
        <v>24</v>
      </c>
      <c r="F418" s="51" t="s">
        <v>96</v>
      </c>
      <c r="G418" s="51" t="s">
        <v>130</v>
      </c>
      <c r="H418" s="53">
        <v>65</v>
      </c>
      <c r="I418" s="51" t="s">
        <v>127</v>
      </c>
      <c r="J418" s="53">
        <v>3</v>
      </c>
      <c r="K418" s="51" t="s">
        <v>128</v>
      </c>
      <c r="L418" s="51" t="s">
        <v>101</v>
      </c>
    </row>
    <row r="419" spans="1:12" hidden="1">
      <c r="A419" s="51" t="s">
        <v>129</v>
      </c>
      <c r="B419" s="52">
        <v>0</v>
      </c>
      <c r="C419" s="52">
        <v>957</v>
      </c>
      <c r="D419" s="53">
        <v>19</v>
      </c>
      <c r="E419" s="51">
        <v>11</v>
      </c>
      <c r="F419" s="51" t="s">
        <v>96</v>
      </c>
      <c r="G419" s="51" t="s">
        <v>130</v>
      </c>
      <c r="H419" s="53">
        <v>19</v>
      </c>
      <c r="I419" s="51" t="s">
        <v>135</v>
      </c>
      <c r="J419" s="53">
        <v>4</v>
      </c>
      <c r="K419" s="51" t="s">
        <v>131</v>
      </c>
      <c r="L419" s="51" t="s">
        <v>94</v>
      </c>
    </row>
    <row r="420" spans="1:12" hidden="1">
      <c r="A420" s="51" t="s">
        <v>132</v>
      </c>
      <c r="B420" s="52">
        <v>0</v>
      </c>
      <c r="C420" s="52">
        <v>770</v>
      </c>
      <c r="D420" s="53">
        <v>37</v>
      </c>
      <c r="E420" s="51">
        <v>3</v>
      </c>
      <c r="F420" s="51" t="s">
        <v>96</v>
      </c>
      <c r="G420" s="51" t="s">
        <v>130</v>
      </c>
      <c r="H420" s="53">
        <v>33</v>
      </c>
      <c r="I420" s="51" t="s">
        <v>127</v>
      </c>
      <c r="J420" s="53">
        <v>4</v>
      </c>
      <c r="K420" s="51" t="s">
        <v>131</v>
      </c>
      <c r="L420" s="51" t="s">
        <v>94</v>
      </c>
    </row>
    <row r="421" spans="1:12" hidden="1">
      <c r="A421" s="51" t="s">
        <v>129</v>
      </c>
      <c r="B421" s="52">
        <v>983</v>
      </c>
      <c r="C421" s="52">
        <v>950</v>
      </c>
      <c r="D421" s="53">
        <v>13</v>
      </c>
      <c r="E421" s="51">
        <v>5</v>
      </c>
      <c r="F421" s="51" t="s">
        <v>96</v>
      </c>
      <c r="G421" s="51" t="s">
        <v>130</v>
      </c>
      <c r="H421" s="53">
        <v>24</v>
      </c>
      <c r="I421" s="51" t="s">
        <v>135</v>
      </c>
      <c r="J421" s="53">
        <v>3</v>
      </c>
      <c r="K421" s="51" t="s">
        <v>131</v>
      </c>
      <c r="L421" s="51" t="s">
        <v>94</v>
      </c>
    </row>
    <row r="422" spans="1:12" hidden="1">
      <c r="A422" s="51" t="s">
        <v>138</v>
      </c>
      <c r="B422" s="52">
        <v>0</v>
      </c>
      <c r="C422" s="52">
        <v>160</v>
      </c>
      <c r="D422" s="53">
        <v>13</v>
      </c>
      <c r="E422" s="51">
        <v>7</v>
      </c>
      <c r="F422" s="51" t="s">
        <v>91</v>
      </c>
      <c r="G422" s="51" t="s">
        <v>136</v>
      </c>
      <c r="H422" s="53">
        <v>40</v>
      </c>
      <c r="I422" s="51" t="s">
        <v>135</v>
      </c>
      <c r="J422" s="53">
        <v>4</v>
      </c>
      <c r="K422" s="51" t="s">
        <v>131</v>
      </c>
      <c r="L422" s="51" t="s">
        <v>101</v>
      </c>
    </row>
    <row r="423" spans="1:12" hidden="1">
      <c r="A423" s="51" t="s">
        <v>138</v>
      </c>
      <c r="B423" s="52">
        <v>0</v>
      </c>
      <c r="C423" s="52">
        <v>276</v>
      </c>
      <c r="D423" s="53">
        <v>25</v>
      </c>
      <c r="E423" s="51">
        <v>91</v>
      </c>
      <c r="F423" s="51" t="s">
        <v>91</v>
      </c>
      <c r="G423" s="51" t="s">
        <v>126</v>
      </c>
      <c r="H423" s="53">
        <v>62</v>
      </c>
      <c r="I423" s="51" t="s">
        <v>127</v>
      </c>
      <c r="J423" s="53">
        <v>4</v>
      </c>
      <c r="K423" s="51" t="s">
        <v>131</v>
      </c>
      <c r="L423" s="51" t="s">
        <v>101</v>
      </c>
    </row>
    <row r="424" spans="1:12" hidden="1">
      <c r="A424" s="51" t="s">
        <v>134</v>
      </c>
      <c r="B424" s="52">
        <v>798</v>
      </c>
      <c r="C424" s="52">
        <v>137</v>
      </c>
      <c r="D424" s="53">
        <v>25</v>
      </c>
      <c r="E424" s="51">
        <v>25</v>
      </c>
      <c r="F424" s="51" t="s">
        <v>96</v>
      </c>
      <c r="G424" s="51" t="s">
        <v>130</v>
      </c>
      <c r="H424" s="53">
        <v>33</v>
      </c>
      <c r="I424" s="51" t="s">
        <v>97</v>
      </c>
      <c r="J424" s="53">
        <v>4</v>
      </c>
      <c r="K424" s="51" t="s">
        <v>128</v>
      </c>
      <c r="L424" s="51" t="s">
        <v>94</v>
      </c>
    </row>
    <row r="425" spans="1:12" hidden="1">
      <c r="A425" s="51" t="s">
        <v>132</v>
      </c>
      <c r="B425" s="52">
        <v>0</v>
      </c>
      <c r="C425" s="52">
        <v>579</v>
      </c>
      <c r="D425" s="53">
        <v>22</v>
      </c>
      <c r="E425" s="51">
        <v>70</v>
      </c>
      <c r="F425" s="51" t="s">
        <v>91</v>
      </c>
      <c r="G425" s="51" t="s">
        <v>136</v>
      </c>
      <c r="H425" s="53">
        <v>29</v>
      </c>
      <c r="I425" s="51" t="s">
        <v>127</v>
      </c>
      <c r="J425" s="53">
        <v>3</v>
      </c>
      <c r="K425" s="51" t="s">
        <v>131</v>
      </c>
      <c r="L425" s="51" t="s">
        <v>101</v>
      </c>
    </row>
    <row r="426" spans="1:12" hidden="1">
      <c r="A426" s="51" t="s">
        <v>132</v>
      </c>
      <c r="B426" s="52">
        <v>193</v>
      </c>
      <c r="C426" s="52">
        <v>2684</v>
      </c>
      <c r="D426" s="53">
        <v>13</v>
      </c>
      <c r="E426" s="51">
        <v>5</v>
      </c>
      <c r="F426" s="51" t="s">
        <v>96</v>
      </c>
      <c r="G426" s="51" t="s">
        <v>130</v>
      </c>
      <c r="H426" s="53">
        <v>22</v>
      </c>
      <c r="I426" s="51" t="s">
        <v>127</v>
      </c>
      <c r="J426" s="53">
        <v>2</v>
      </c>
      <c r="K426" s="51" t="s">
        <v>128</v>
      </c>
      <c r="L426" s="51" t="s">
        <v>94</v>
      </c>
    </row>
    <row r="427" spans="1:12" hidden="1">
      <c r="A427" s="51" t="s">
        <v>125</v>
      </c>
      <c r="B427" s="52">
        <v>497</v>
      </c>
      <c r="C427" s="52">
        <v>0</v>
      </c>
      <c r="D427" s="53">
        <v>7</v>
      </c>
      <c r="E427" s="51">
        <v>51</v>
      </c>
      <c r="F427" s="51" t="s">
        <v>91</v>
      </c>
      <c r="G427" s="51" t="s">
        <v>126</v>
      </c>
      <c r="H427" s="53">
        <v>35</v>
      </c>
      <c r="I427" s="51" t="s">
        <v>97</v>
      </c>
      <c r="J427" s="53">
        <v>4</v>
      </c>
      <c r="K427" s="51" t="s">
        <v>131</v>
      </c>
      <c r="L427" s="51" t="s">
        <v>101</v>
      </c>
    </row>
    <row r="428" spans="1:12" hidden="1">
      <c r="A428" s="51" t="s">
        <v>129</v>
      </c>
      <c r="B428" s="52">
        <v>0</v>
      </c>
      <c r="C428" s="52">
        <v>0</v>
      </c>
      <c r="D428" s="53">
        <v>31</v>
      </c>
      <c r="E428" s="51">
        <v>53</v>
      </c>
      <c r="F428" s="51" t="s">
        <v>91</v>
      </c>
      <c r="G428" s="51" t="s">
        <v>126</v>
      </c>
      <c r="H428" s="53">
        <v>30</v>
      </c>
      <c r="I428" s="51" t="s">
        <v>127</v>
      </c>
      <c r="J428" s="53">
        <v>4</v>
      </c>
      <c r="K428" s="51" t="s">
        <v>131</v>
      </c>
      <c r="L428" s="51" t="s">
        <v>94</v>
      </c>
    </row>
    <row r="429" spans="1:12">
      <c r="A429" s="51" t="s">
        <v>132</v>
      </c>
      <c r="B429" s="52">
        <v>0</v>
      </c>
      <c r="C429" s="52">
        <v>0</v>
      </c>
      <c r="D429" s="53">
        <v>25</v>
      </c>
      <c r="E429" s="51">
        <v>103</v>
      </c>
      <c r="F429" s="51" t="s">
        <v>96</v>
      </c>
      <c r="G429" s="51" t="s">
        <v>130</v>
      </c>
      <c r="H429" s="53">
        <v>28</v>
      </c>
      <c r="I429" s="51" t="s">
        <v>127</v>
      </c>
      <c r="J429" s="53">
        <v>2</v>
      </c>
      <c r="K429" s="51" t="s">
        <v>131</v>
      </c>
      <c r="L429" s="51" t="s">
        <v>94</v>
      </c>
    </row>
    <row r="430" spans="1:12">
      <c r="A430" s="51" t="s">
        <v>132</v>
      </c>
      <c r="B430" s="52">
        <v>0</v>
      </c>
      <c r="C430" s="52">
        <v>712</v>
      </c>
      <c r="D430" s="53">
        <v>16</v>
      </c>
      <c r="E430" s="51">
        <v>6</v>
      </c>
      <c r="F430" s="51" t="s">
        <v>96</v>
      </c>
      <c r="G430" s="51" t="s">
        <v>130</v>
      </c>
      <c r="H430" s="53">
        <v>28</v>
      </c>
      <c r="I430" s="51" t="s">
        <v>127</v>
      </c>
      <c r="J430" s="53">
        <v>2</v>
      </c>
      <c r="K430" s="51" t="s">
        <v>131</v>
      </c>
      <c r="L430" s="51" t="s">
        <v>94</v>
      </c>
    </row>
    <row r="431" spans="1:12">
      <c r="A431" s="51" t="s">
        <v>132</v>
      </c>
      <c r="B431" s="52">
        <v>0</v>
      </c>
      <c r="C431" s="52">
        <v>912</v>
      </c>
      <c r="D431" s="53">
        <v>7</v>
      </c>
      <c r="E431" s="51">
        <v>39</v>
      </c>
      <c r="F431" s="51" t="s">
        <v>91</v>
      </c>
      <c r="G431" s="51" t="s">
        <v>126</v>
      </c>
      <c r="H431" s="53">
        <v>44</v>
      </c>
      <c r="I431" s="51" t="s">
        <v>127</v>
      </c>
      <c r="J431" s="53">
        <v>3</v>
      </c>
      <c r="K431" s="51" t="s">
        <v>133</v>
      </c>
      <c r="L431" s="51" t="s">
        <v>101</v>
      </c>
    </row>
    <row r="432" spans="1:12" ht="15.75" thickBot="1"/>
    <row r="433" spans="2:4">
      <c r="B433" s="54" t="s">
        <v>144</v>
      </c>
      <c r="C433" s="55">
        <f>CORREL(H7:H431, E7:E431)</f>
        <v>0.30679852918801254</v>
      </c>
    </row>
    <row r="434" spans="2:4">
      <c r="B434" s="56" t="s">
        <v>145</v>
      </c>
      <c r="C434" s="57" cm="1">
        <f t="array" ref="C434">CORREL(H7:H431, C7:C431+B7:B431)</f>
        <v>-2.2624645035473141E-2</v>
      </c>
    </row>
    <row r="435" spans="2:4" ht="15.75" thickBot="1">
      <c r="B435" s="58" t="s">
        <v>146</v>
      </c>
      <c r="C435" s="59" cm="1">
        <f t="array" ref="C435">CORREL(D7:D431, C7:C431+B7:B431)</f>
        <v>-6.1210007817118064E-2</v>
      </c>
    </row>
    <row r="437" spans="2:4">
      <c r="B437" s="152" t="s">
        <v>147</v>
      </c>
      <c r="C437" s="152"/>
      <c r="D437" s="152"/>
    </row>
    <row r="438" spans="2:4">
      <c r="B438" s="152"/>
      <c r="C438" s="152"/>
      <c r="D438" s="152"/>
    </row>
    <row r="439" spans="2:4">
      <c r="B439" s="152"/>
      <c r="C439" s="152"/>
      <c r="D439" s="152"/>
    </row>
    <row r="440" spans="2:4">
      <c r="B440" s="152"/>
      <c r="C440" s="152"/>
      <c r="D440" s="152"/>
    </row>
    <row r="441" spans="2:4">
      <c r="B441" s="152"/>
      <c r="C441" s="152"/>
      <c r="D441" s="152"/>
    </row>
    <row r="442" spans="2:4">
      <c r="B442" s="152"/>
      <c r="C442" s="152"/>
      <c r="D442" s="152"/>
    </row>
  </sheetData>
  <mergeCells count="1">
    <mergeCell ref="B437:D44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99A2-1535-4873-8B4F-AD9BC1B10143}">
  <dimension ref="A1:H355"/>
  <sheetViews>
    <sheetView workbookViewId="0">
      <selection activeCell="J343" sqref="J343"/>
    </sheetView>
  </sheetViews>
  <sheetFormatPr defaultRowHeight="15"/>
  <cols>
    <col min="1" max="1" width="15" bestFit="1" customWidth="1"/>
    <col min="2" max="2" width="26.140625" customWidth="1"/>
    <col min="3" max="3" width="22.7109375" customWidth="1"/>
    <col min="4" max="4" width="13" customWidth="1"/>
    <col min="5" max="5" width="13.7109375" bestFit="1" customWidth="1"/>
    <col min="6" max="6" width="12.42578125" bestFit="1" customWidth="1"/>
    <col min="7" max="7" width="13.42578125" customWidth="1"/>
    <col min="8" max="8" width="12.140625" customWidth="1"/>
  </cols>
  <sheetData>
    <row r="1" spans="1:8">
      <c r="A1" s="5" t="s">
        <v>0</v>
      </c>
    </row>
    <row r="2" spans="1:8">
      <c r="A2" s="5" t="s">
        <v>684</v>
      </c>
    </row>
    <row r="4" spans="1:8">
      <c r="A4" s="60" t="s">
        <v>148</v>
      </c>
    </row>
    <row r="6" spans="1:8" ht="39.75" thickBot="1">
      <c r="A6" s="61" t="s">
        <v>149</v>
      </c>
      <c r="B6" s="26" t="s">
        <v>150</v>
      </c>
      <c r="C6" s="62" t="s">
        <v>151</v>
      </c>
      <c r="D6" s="62" t="s">
        <v>152</v>
      </c>
      <c r="E6" s="63" t="s">
        <v>153</v>
      </c>
      <c r="F6" s="62" t="s">
        <v>154</v>
      </c>
      <c r="G6" s="62" t="s">
        <v>691</v>
      </c>
      <c r="H6" s="62" t="s">
        <v>688</v>
      </c>
    </row>
    <row r="7" spans="1:8" ht="15.75" thickTop="1">
      <c r="A7" s="64">
        <v>8</v>
      </c>
      <c r="B7" s="4" t="s">
        <v>155</v>
      </c>
      <c r="C7" s="4" t="s">
        <v>156</v>
      </c>
      <c r="D7" s="4" t="s">
        <v>157</v>
      </c>
      <c r="E7" s="64">
        <v>15</v>
      </c>
      <c r="F7" s="64">
        <v>14</v>
      </c>
      <c r="G7">
        <f>STANDARDIZE(E7,$C$341,$C$342)</f>
        <v>0.18362451187945389</v>
      </c>
      <c r="H7">
        <f>STANDARDIZE(F7,$D$341,$D$342)</f>
        <v>0.43597356257755204</v>
      </c>
    </row>
    <row r="8" spans="1:8">
      <c r="A8" s="64">
        <v>16</v>
      </c>
      <c r="B8" s="4" t="s">
        <v>158</v>
      </c>
      <c r="C8" s="4" t="s">
        <v>159</v>
      </c>
      <c r="D8" s="4" t="s">
        <v>160</v>
      </c>
      <c r="E8" s="64">
        <v>-6</v>
      </c>
      <c r="F8" s="64">
        <v>6</v>
      </c>
      <c r="G8">
        <f t="shared" ref="G8:G71" si="0">STANDARDIZE(E8,$C$341,$C$342)</f>
        <v>-0.19886694214334627</v>
      </c>
      <c r="H8">
        <f t="shared" ref="H8:H71" si="1">STANDARDIZE(F8,$D$341,$D$342)</f>
        <v>-1.0198372743775017</v>
      </c>
    </row>
    <row r="9" spans="1:8">
      <c r="A9" s="64">
        <v>22</v>
      </c>
      <c r="B9" s="4" t="s">
        <v>161</v>
      </c>
      <c r="C9" s="4" t="s">
        <v>162</v>
      </c>
      <c r="D9" s="4" t="s">
        <v>163</v>
      </c>
      <c r="E9" s="64">
        <v>-9</v>
      </c>
      <c r="F9" s="64">
        <v>11</v>
      </c>
      <c r="G9">
        <f t="shared" si="0"/>
        <v>-0.25350857843231772</v>
      </c>
      <c r="H9">
        <f t="shared" si="1"/>
        <v>-0.10995550128059307</v>
      </c>
    </row>
    <row r="10" spans="1:8" hidden="1">
      <c r="A10" s="64">
        <v>24</v>
      </c>
      <c r="B10" s="4" t="s">
        <v>164</v>
      </c>
      <c r="C10" s="4" t="s">
        <v>165</v>
      </c>
      <c r="D10" s="4" t="s">
        <v>166</v>
      </c>
      <c r="E10" s="64">
        <v>-6</v>
      </c>
      <c r="F10" s="64">
        <v>9</v>
      </c>
      <c r="G10">
        <f t="shared" si="0"/>
        <v>-0.19886694214334627</v>
      </c>
      <c r="H10">
        <f t="shared" si="1"/>
        <v>-0.4739082105193565</v>
      </c>
    </row>
    <row r="11" spans="1:8" hidden="1">
      <c r="A11" s="64">
        <v>28</v>
      </c>
      <c r="B11" s="4" t="s">
        <v>167</v>
      </c>
      <c r="C11" s="4" t="s">
        <v>168</v>
      </c>
      <c r="D11" s="4" t="s">
        <v>169</v>
      </c>
      <c r="E11" s="64">
        <v>5</v>
      </c>
      <c r="F11" s="64">
        <v>13</v>
      </c>
      <c r="G11">
        <f t="shared" si="0"/>
        <v>1.4857242495490664E-3</v>
      </c>
      <c r="H11">
        <f t="shared" si="1"/>
        <v>0.25399720795817032</v>
      </c>
    </row>
    <row r="12" spans="1:8" hidden="1">
      <c r="A12" s="64">
        <v>38</v>
      </c>
      <c r="B12" s="4" t="s">
        <v>167</v>
      </c>
      <c r="C12" s="4" t="s">
        <v>170</v>
      </c>
      <c r="D12" s="4" t="s">
        <v>171</v>
      </c>
      <c r="E12" s="64">
        <v>-22</v>
      </c>
      <c r="F12" s="64">
        <v>6</v>
      </c>
      <c r="G12">
        <f t="shared" si="0"/>
        <v>-0.49028900235119399</v>
      </c>
      <c r="H12">
        <f t="shared" si="1"/>
        <v>-1.0198372743775017</v>
      </c>
    </row>
    <row r="13" spans="1:8" hidden="1">
      <c r="A13" s="64">
        <v>57</v>
      </c>
      <c r="B13" s="4" t="s">
        <v>172</v>
      </c>
      <c r="C13" s="4" t="s">
        <v>173</v>
      </c>
      <c r="D13" s="4" t="s">
        <v>174</v>
      </c>
      <c r="E13" s="64">
        <v>13</v>
      </c>
      <c r="F13" s="64">
        <v>12</v>
      </c>
      <c r="G13">
        <f t="shared" si="0"/>
        <v>0.14719675435347293</v>
      </c>
      <c r="H13">
        <f t="shared" si="1"/>
        <v>7.2020853338788646E-2</v>
      </c>
    </row>
    <row r="14" spans="1:8" hidden="1">
      <c r="A14" s="64">
        <v>61</v>
      </c>
      <c r="B14" s="4" t="s">
        <v>158</v>
      </c>
      <c r="C14" s="4" t="s">
        <v>175</v>
      </c>
      <c r="D14" s="4" t="s">
        <v>176</v>
      </c>
      <c r="E14" s="64">
        <v>20</v>
      </c>
      <c r="F14" s="64">
        <v>11</v>
      </c>
      <c r="G14">
        <f t="shared" si="0"/>
        <v>0.27469390569440633</v>
      </c>
      <c r="H14">
        <f t="shared" si="1"/>
        <v>-0.10995550128059307</v>
      </c>
    </row>
    <row r="15" spans="1:8" hidden="1">
      <c r="A15" s="64">
        <v>64</v>
      </c>
      <c r="B15" s="4" t="s">
        <v>164</v>
      </c>
      <c r="C15" s="4" t="s">
        <v>177</v>
      </c>
      <c r="D15" s="4" t="s">
        <v>178</v>
      </c>
      <c r="E15" s="64">
        <v>-2</v>
      </c>
      <c r="F15" s="64">
        <v>10</v>
      </c>
      <c r="G15">
        <f t="shared" si="0"/>
        <v>-0.12601142709138433</v>
      </c>
      <c r="H15">
        <f t="shared" si="1"/>
        <v>-0.29193185589997478</v>
      </c>
    </row>
    <row r="16" spans="1:8" hidden="1">
      <c r="A16" s="64">
        <v>66</v>
      </c>
      <c r="B16" s="4" t="s">
        <v>179</v>
      </c>
      <c r="C16" s="4" t="s">
        <v>180</v>
      </c>
      <c r="D16" s="4" t="s">
        <v>181</v>
      </c>
      <c r="E16" s="64">
        <v>-4</v>
      </c>
      <c r="F16" s="64">
        <v>9</v>
      </c>
      <c r="G16">
        <f t="shared" si="0"/>
        <v>-0.16243918461736531</v>
      </c>
      <c r="H16">
        <f t="shared" si="1"/>
        <v>-0.4739082105193565</v>
      </c>
    </row>
    <row r="17" spans="1:8" hidden="1">
      <c r="A17" s="64">
        <v>68</v>
      </c>
      <c r="B17" s="4" t="s">
        <v>182</v>
      </c>
      <c r="C17" s="4" t="s">
        <v>183</v>
      </c>
      <c r="D17" s="4" t="s">
        <v>184</v>
      </c>
      <c r="E17" s="64">
        <v>-9</v>
      </c>
      <c r="F17" s="64">
        <v>7</v>
      </c>
      <c r="G17">
        <f t="shared" si="0"/>
        <v>-0.25350857843231772</v>
      </c>
      <c r="H17">
        <f t="shared" si="1"/>
        <v>-0.83786091975811994</v>
      </c>
    </row>
    <row r="18" spans="1:8" hidden="1">
      <c r="A18" s="64">
        <v>74</v>
      </c>
      <c r="B18" s="4" t="s">
        <v>185</v>
      </c>
      <c r="C18" s="4" t="s">
        <v>186</v>
      </c>
      <c r="D18" s="4" t="s">
        <v>187</v>
      </c>
      <c r="E18" s="64">
        <v>-2</v>
      </c>
      <c r="F18" s="64">
        <v>18</v>
      </c>
      <c r="G18">
        <f t="shared" si="0"/>
        <v>-0.12601142709138433</v>
      </c>
      <c r="H18">
        <f t="shared" si="1"/>
        <v>1.1638789810550789</v>
      </c>
    </row>
    <row r="19" spans="1:8" hidden="1">
      <c r="A19" s="64">
        <v>101</v>
      </c>
      <c r="B19" s="4" t="s">
        <v>158</v>
      </c>
      <c r="C19" s="4" t="s">
        <v>188</v>
      </c>
      <c r="D19" s="4" t="s">
        <v>189</v>
      </c>
      <c r="E19" s="64">
        <v>15</v>
      </c>
      <c r="F19" s="64">
        <v>13</v>
      </c>
      <c r="G19">
        <f t="shared" si="0"/>
        <v>0.18362451187945389</v>
      </c>
      <c r="H19">
        <f t="shared" si="1"/>
        <v>0.25399720795817032</v>
      </c>
    </row>
    <row r="20" spans="1:8" hidden="1">
      <c r="A20" s="64">
        <v>105</v>
      </c>
      <c r="B20" s="4" t="s">
        <v>190</v>
      </c>
      <c r="C20" s="4" t="s">
        <v>191</v>
      </c>
      <c r="D20" s="4" t="s">
        <v>192</v>
      </c>
      <c r="E20" s="64">
        <v>-9</v>
      </c>
      <c r="F20" s="64">
        <v>8</v>
      </c>
      <c r="G20">
        <f t="shared" si="0"/>
        <v>-0.25350857843231772</v>
      </c>
      <c r="H20">
        <f t="shared" si="1"/>
        <v>-0.65588456513873816</v>
      </c>
    </row>
    <row r="21" spans="1:8" hidden="1">
      <c r="A21" s="64">
        <v>108</v>
      </c>
      <c r="B21" s="4" t="s">
        <v>167</v>
      </c>
      <c r="C21" s="4" t="s">
        <v>193</v>
      </c>
      <c r="D21" s="4" t="s">
        <v>194</v>
      </c>
      <c r="E21" s="64">
        <v>-17</v>
      </c>
      <c r="F21" s="64">
        <v>11</v>
      </c>
      <c r="G21">
        <f t="shared" si="0"/>
        <v>-0.39921960853624161</v>
      </c>
      <c r="H21">
        <f t="shared" si="1"/>
        <v>-0.10995550128059307</v>
      </c>
    </row>
    <row r="22" spans="1:8" hidden="1">
      <c r="A22" s="64">
        <v>116</v>
      </c>
      <c r="B22" s="4" t="s">
        <v>158</v>
      </c>
      <c r="C22" s="4" t="s">
        <v>195</v>
      </c>
      <c r="D22" s="4" t="s">
        <v>196</v>
      </c>
      <c r="E22" s="64">
        <v>-1</v>
      </c>
      <c r="F22" s="64">
        <v>7</v>
      </c>
      <c r="G22">
        <f t="shared" si="0"/>
        <v>-0.10779754832839383</v>
      </c>
      <c r="H22">
        <f t="shared" si="1"/>
        <v>-0.83786091975811994</v>
      </c>
    </row>
    <row r="23" spans="1:8" hidden="1">
      <c r="A23" s="64">
        <v>130</v>
      </c>
      <c r="B23" s="4" t="s">
        <v>197</v>
      </c>
      <c r="C23" s="4" t="s">
        <v>169</v>
      </c>
      <c r="D23" s="4" t="s">
        <v>198</v>
      </c>
      <c r="E23" s="64">
        <v>23</v>
      </c>
      <c r="F23" s="64">
        <v>7</v>
      </c>
      <c r="G23">
        <f t="shared" si="0"/>
        <v>0.32933554198337778</v>
      </c>
      <c r="H23">
        <f t="shared" si="1"/>
        <v>-0.83786091975811994</v>
      </c>
    </row>
    <row r="24" spans="1:8" hidden="1">
      <c r="A24" s="64">
        <v>147</v>
      </c>
      <c r="B24" s="4" t="s">
        <v>199</v>
      </c>
      <c r="C24" s="4" t="s">
        <v>200</v>
      </c>
      <c r="D24" s="4" t="s">
        <v>157</v>
      </c>
      <c r="E24" s="64">
        <v>-13</v>
      </c>
      <c r="F24" s="64">
        <v>23</v>
      </c>
      <c r="G24">
        <f t="shared" si="0"/>
        <v>-0.32636409348427964</v>
      </c>
      <c r="H24">
        <f t="shared" si="1"/>
        <v>2.0737607541519876</v>
      </c>
    </row>
    <row r="25" spans="1:8" hidden="1">
      <c r="A25" s="64">
        <v>151</v>
      </c>
      <c r="B25" s="4" t="s">
        <v>197</v>
      </c>
      <c r="C25" s="4" t="s">
        <v>201</v>
      </c>
      <c r="D25" s="4" t="s">
        <v>202</v>
      </c>
      <c r="E25" s="64">
        <v>25</v>
      </c>
      <c r="F25" s="64">
        <v>12</v>
      </c>
      <c r="G25">
        <f t="shared" si="0"/>
        <v>0.36576329950935871</v>
      </c>
      <c r="H25">
        <f t="shared" si="1"/>
        <v>7.2020853338788646E-2</v>
      </c>
    </row>
    <row r="26" spans="1:8" hidden="1">
      <c r="A26" s="64">
        <v>152</v>
      </c>
      <c r="B26" s="4" t="s">
        <v>158</v>
      </c>
      <c r="C26" s="4" t="s">
        <v>203</v>
      </c>
      <c r="D26" s="4" t="s">
        <v>204</v>
      </c>
      <c r="E26" s="64">
        <v>12</v>
      </c>
      <c r="F26" s="64">
        <v>21</v>
      </c>
      <c r="G26">
        <f t="shared" si="0"/>
        <v>0.12898287559048247</v>
      </c>
      <c r="H26">
        <f t="shared" si="1"/>
        <v>1.709808044913224</v>
      </c>
    </row>
    <row r="27" spans="1:8" hidden="1">
      <c r="A27" s="64">
        <v>365</v>
      </c>
      <c r="B27" s="4" t="s">
        <v>205</v>
      </c>
      <c r="C27" s="4" t="s">
        <v>206</v>
      </c>
      <c r="D27" s="4" t="s">
        <v>207</v>
      </c>
      <c r="E27" s="64">
        <v>-20</v>
      </c>
      <c r="F27" s="64">
        <v>9</v>
      </c>
      <c r="G27">
        <f t="shared" si="0"/>
        <v>-0.45386124482521306</v>
      </c>
      <c r="H27">
        <f t="shared" si="1"/>
        <v>-0.4739082105193565</v>
      </c>
    </row>
    <row r="28" spans="1:8" hidden="1">
      <c r="A28" s="64">
        <v>371</v>
      </c>
      <c r="B28" s="4" t="s">
        <v>208</v>
      </c>
      <c r="C28" s="4" t="s">
        <v>209</v>
      </c>
      <c r="D28" s="4" t="s">
        <v>210</v>
      </c>
      <c r="E28" s="64">
        <v>-13</v>
      </c>
      <c r="F28" s="64">
        <v>7</v>
      </c>
      <c r="G28">
        <f t="shared" si="0"/>
        <v>-0.32636409348427964</v>
      </c>
      <c r="H28">
        <f t="shared" si="1"/>
        <v>-0.83786091975811994</v>
      </c>
    </row>
    <row r="29" spans="1:8" hidden="1">
      <c r="A29" s="64">
        <v>373</v>
      </c>
      <c r="B29" s="4" t="s">
        <v>211</v>
      </c>
      <c r="C29" s="4" t="s">
        <v>212</v>
      </c>
      <c r="D29" s="4" t="s">
        <v>213</v>
      </c>
      <c r="E29" s="64">
        <v>25</v>
      </c>
      <c r="F29" s="64">
        <v>9</v>
      </c>
      <c r="G29">
        <f t="shared" si="0"/>
        <v>0.36576329950935871</v>
      </c>
      <c r="H29">
        <f t="shared" si="1"/>
        <v>-0.4739082105193565</v>
      </c>
    </row>
    <row r="30" spans="1:8" hidden="1">
      <c r="A30" s="64">
        <v>377</v>
      </c>
      <c r="B30" s="4" t="s">
        <v>214</v>
      </c>
      <c r="C30" s="4" t="s">
        <v>215</v>
      </c>
      <c r="D30" s="4" t="s">
        <v>216</v>
      </c>
      <c r="E30" s="64">
        <v>23</v>
      </c>
      <c r="F30" s="64">
        <v>11</v>
      </c>
      <c r="G30">
        <f t="shared" si="0"/>
        <v>0.32933554198337778</v>
      </c>
      <c r="H30">
        <f t="shared" si="1"/>
        <v>-0.10995550128059307</v>
      </c>
    </row>
    <row r="31" spans="1:8" hidden="1">
      <c r="A31" s="64">
        <v>409</v>
      </c>
      <c r="B31" s="4" t="s">
        <v>217</v>
      </c>
      <c r="C31" s="4" t="s">
        <v>218</v>
      </c>
      <c r="D31" s="4" t="s">
        <v>219</v>
      </c>
      <c r="E31" s="64">
        <v>29</v>
      </c>
      <c r="F31" s="64">
        <v>8</v>
      </c>
      <c r="G31">
        <f t="shared" si="0"/>
        <v>0.43861881456132068</v>
      </c>
      <c r="H31">
        <f t="shared" si="1"/>
        <v>-0.65588456513873816</v>
      </c>
    </row>
    <row r="32" spans="1:8" hidden="1">
      <c r="A32" s="64">
        <v>418</v>
      </c>
      <c r="B32" s="4" t="s">
        <v>220</v>
      </c>
      <c r="C32" s="4" t="s">
        <v>221</v>
      </c>
      <c r="D32" s="4" t="s">
        <v>222</v>
      </c>
      <c r="E32" s="64">
        <v>-8</v>
      </c>
      <c r="F32" s="64">
        <v>6</v>
      </c>
      <c r="G32">
        <f t="shared" si="0"/>
        <v>-0.23529469966932723</v>
      </c>
      <c r="H32">
        <f t="shared" si="1"/>
        <v>-1.0198372743775017</v>
      </c>
    </row>
    <row r="33" spans="1:8" hidden="1">
      <c r="A33" s="64">
        <v>420</v>
      </c>
      <c r="B33" s="4" t="s">
        <v>220</v>
      </c>
      <c r="C33" s="4" t="s">
        <v>223</v>
      </c>
      <c r="D33" s="4" t="s">
        <v>224</v>
      </c>
      <c r="E33" s="64">
        <v>-3</v>
      </c>
      <c r="F33" s="64">
        <v>11</v>
      </c>
      <c r="G33">
        <f t="shared" si="0"/>
        <v>-0.14422530585437479</v>
      </c>
      <c r="H33">
        <f t="shared" si="1"/>
        <v>-0.10995550128059307</v>
      </c>
    </row>
    <row r="34" spans="1:8" hidden="1">
      <c r="A34" s="64">
        <v>422</v>
      </c>
      <c r="B34" s="4" t="s">
        <v>220</v>
      </c>
      <c r="C34" s="4" t="s">
        <v>225</v>
      </c>
      <c r="D34" s="4" t="s">
        <v>226</v>
      </c>
      <c r="E34" s="64">
        <v>-18</v>
      </c>
      <c r="F34" s="64">
        <v>6</v>
      </c>
      <c r="G34">
        <f t="shared" si="0"/>
        <v>-0.41743348729923208</v>
      </c>
      <c r="H34">
        <f t="shared" si="1"/>
        <v>-1.0198372743775017</v>
      </c>
    </row>
    <row r="35" spans="1:8" hidden="1">
      <c r="A35" s="64">
        <v>424</v>
      </c>
      <c r="B35" s="4" t="s">
        <v>220</v>
      </c>
      <c r="C35" s="4" t="s">
        <v>227</v>
      </c>
      <c r="D35" s="4" t="s">
        <v>228</v>
      </c>
      <c r="E35" s="64">
        <v>-21</v>
      </c>
      <c r="F35" s="64">
        <v>7</v>
      </c>
      <c r="G35">
        <f t="shared" si="0"/>
        <v>-0.47207512358820353</v>
      </c>
      <c r="H35">
        <f t="shared" si="1"/>
        <v>-0.83786091975811994</v>
      </c>
    </row>
    <row r="36" spans="1:8" hidden="1">
      <c r="A36" s="64">
        <v>428</v>
      </c>
      <c r="B36" s="4" t="s">
        <v>220</v>
      </c>
      <c r="C36" s="4" t="s">
        <v>229</v>
      </c>
      <c r="D36" s="4" t="s">
        <v>230</v>
      </c>
      <c r="E36" s="64">
        <v>2</v>
      </c>
      <c r="F36" s="64">
        <v>17</v>
      </c>
      <c r="G36">
        <f t="shared" si="0"/>
        <v>-5.3155912039422382E-2</v>
      </c>
      <c r="H36">
        <f t="shared" si="1"/>
        <v>0.98190262643569715</v>
      </c>
    </row>
    <row r="37" spans="1:8" hidden="1">
      <c r="A37" s="64">
        <v>438</v>
      </c>
      <c r="B37" s="4" t="s">
        <v>231</v>
      </c>
      <c r="C37" s="4" t="s">
        <v>232</v>
      </c>
      <c r="D37" s="4" t="s">
        <v>232</v>
      </c>
      <c r="E37" s="64">
        <v>0</v>
      </c>
      <c r="F37" s="64">
        <v>23</v>
      </c>
      <c r="G37">
        <f t="shared" si="0"/>
        <v>-8.9583669565403354E-2</v>
      </c>
      <c r="H37">
        <f t="shared" si="1"/>
        <v>2.0737607541519876</v>
      </c>
    </row>
    <row r="38" spans="1:8" hidden="1">
      <c r="A38" s="64">
        <v>509</v>
      </c>
      <c r="B38" s="4" t="s">
        <v>233</v>
      </c>
      <c r="C38" s="4" t="s">
        <v>234</v>
      </c>
      <c r="D38" s="4" t="s">
        <v>235</v>
      </c>
      <c r="E38" s="64">
        <v>-29</v>
      </c>
      <c r="F38" s="64">
        <v>7</v>
      </c>
      <c r="G38">
        <f t="shared" si="0"/>
        <v>-0.6177861536921273</v>
      </c>
      <c r="H38">
        <f t="shared" si="1"/>
        <v>-0.83786091975811994</v>
      </c>
    </row>
    <row r="39" spans="1:8" hidden="1">
      <c r="A39" s="64">
        <v>529</v>
      </c>
      <c r="B39" s="4" t="s">
        <v>236</v>
      </c>
      <c r="C39" s="4" t="s">
        <v>237</v>
      </c>
      <c r="D39" s="4" t="s">
        <v>238</v>
      </c>
      <c r="E39" s="64">
        <v>-20</v>
      </c>
      <c r="F39" s="64">
        <v>11</v>
      </c>
      <c r="G39">
        <f t="shared" si="0"/>
        <v>-0.45386124482521306</v>
      </c>
      <c r="H39">
        <f t="shared" si="1"/>
        <v>-0.10995550128059307</v>
      </c>
    </row>
    <row r="40" spans="1:8" hidden="1">
      <c r="A40" s="64">
        <v>543</v>
      </c>
      <c r="B40" s="4" t="s">
        <v>179</v>
      </c>
      <c r="C40" s="4" t="s">
        <v>239</v>
      </c>
      <c r="D40" s="4" t="s">
        <v>240</v>
      </c>
      <c r="E40" s="64">
        <v>29</v>
      </c>
      <c r="F40" s="64">
        <v>19</v>
      </c>
      <c r="G40">
        <f t="shared" si="0"/>
        <v>0.43861881456132068</v>
      </c>
      <c r="H40">
        <f t="shared" si="1"/>
        <v>1.3458553356744607</v>
      </c>
    </row>
    <row r="41" spans="1:8" hidden="1">
      <c r="A41" s="64">
        <v>547</v>
      </c>
      <c r="B41" s="4" t="s">
        <v>241</v>
      </c>
      <c r="C41" s="4" t="s">
        <v>242</v>
      </c>
      <c r="D41" s="4" t="s">
        <v>243</v>
      </c>
      <c r="E41" s="64">
        <v>-19</v>
      </c>
      <c r="F41" s="64">
        <v>10</v>
      </c>
      <c r="G41">
        <f t="shared" si="0"/>
        <v>-0.43564736606222254</v>
      </c>
      <c r="H41">
        <f t="shared" si="1"/>
        <v>-0.29193185589997478</v>
      </c>
    </row>
    <row r="42" spans="1:8" hidden="1">
      <c r="A42" s="64">
        <v>660</v>
      </c>
      <c r="B42" s="4" t="s">
        <v>244</v>
      </c>
      <c r="C42" s="4" t="s">
        <v>245</v>
      </c>
      <c r="D42" s="4" t="s">
        <v>246</v>
      </c>
      <c r="E42" s="64">
        <v>-2</v>
      </c>
      <c r="F42" s="64">
        <v>6</v>
      </c>
      <c r="G42">
        <f t="shared" si="0"/>
        <v>-0.12601142709138433</v>
      </c>
      <c r="H42">
        <f t="shared" si="1"/>
        <v>-1.0198372743775017</v>
      </c>
    </row>
    <row r="43" spans="1:8" hidden="1">
      <c r="A43" s="64">
        <v>665</v>
      </c>
      <c r="B43" s="4" t="s">
        <v>247</v>
      </c>
      <c r="C43" s="4" t="s">
        <v>248</v>
      </c>
      <c r="D43" s="4" t="s">
        <v>249</v>
      </c>
      <c r="E43" s="64">
        <v>2</v>
      </c>
      <c r="F43" s="64">
        <v>15</v>
      </c>
      <c r="G43">
        <f t="shared" si="0"/>
        <v>-5.3155912039422382E-2</v>
      </c>
      <c r="H43">
        <f t="shared" si="1"/>
        <v>0.61794991719693382</v>
      </c>
    </row>
    <row r="44" spans="1:8" hidden="1">
      <c r="A44" s="64">
        <v>674</v>
      </c>
      <c r="B44" s="4" t="s">
        <v>244</v>
      </c>
      <c r="C44" s="4" t="s">
        <v>250</v>
      </c>
      <c r="D44" s="4" t="s">
        <v>251</v>
      </c>
      <c r="E44" s="64">
        <v>7</v>
      </c>
      <c r="F44" s="64">
        <v>12</v>
      </c>
      <c r="G44">
        <f t="shared" si="0"/>
        <v>3.7913481775530035E-2</v>
      </c>
      <c r="H44">
        <f t="shared" si="1"/>
        <v>7.2020853338788646E-2</v>
      </c>
    </row>
    <row r="45" spans="1:8" hidden="1">
      <c r="A45" s="64">
        <v>675</v>
      </c>
      <c r="B45" s="4" t="s">
        <v>214</v>
      </c>
      <c r="C45" s="4" t="s">
        <v>248</v>
      </c>
      <c r="D45" s="4" t="s">
        <v>252</v>
      </c>
      <c r="E45" s="64">
        <v>63</v>
      </c>
      <c r="F45" s="64">
        <v>13</v>
      </c>
      <c r="G45">
        <f t="shared" si="0"/>
        <v>1.0578906925029972</v>
      </c>
      <c r="H45">
        <f t="shared" si="1"/>
        <v>0.25399720795817032</v>
      </c>
    </row>
    <row r="46" spans="1:8" hidden="1">
      <c r="A46" s="64">
        <v>676</v>
      </c>
      <c r="B46" s="4" t="s">
        <v>244</v>
      </c>
      <c r="C46" s="4" t="s">
        <v>253</v>
      </c>
      <c r="D46" s="4" t="s">
        <v>254</v>
      </c>
      <c r="E46" s="64">
        <v>-6</v>
      </c>
      <c r="F46" s="64">
        <v>9</v>
      </c>
      <c r="G46">
        <f t="shared" si="0"/>
        <v>-0.19886694214334627</v>
      </c>
      <c r="H46">
        <f t="shared" si="1"/>
        <v>-0.4739082105193565</v>
      </c>
    </row>
    <row r="47" spans="1:8" hidden="1">
      <c r="A47" s="64">
        <v>687</v>
      </c>
      <c r="B47" s="4" t="s">
        <v>255</v>
      </c>
      <c r="C47" s="4" t="s">
        <v>256</v>
      </c>
      <c r="D47" s="4" t="s">
        <v>257</v>
      </c>
      <c r="E47" s="64">
        <v>-9</v>
      </c>
      <c r="F47" s="64">
        <v>22</v>
      </c>
      <c r="G47">
        <f t="shared" si="0"/>
        <v>-0.25350857843231772</v>
      </c>
      <c r="H47">
        <f t="shared" si="1"/>
        <v>1.8917843995326058</v>
      </c>
    </row>
    <row r="48" spans="1:8" hidden="1">
      <c r="A48" s="64">
        <v>1005</v>
      </c>
      <c r="B48" s="4" t="s">
        <v>258</v>
      </c>
      <c r="C48" s="4" t="s">
        <v>259</v>
      </c>
      <c r="D48" s="4" t="s">
        <v>260</v>
      </c>
      <c r="E48" s="64">
        <v>30</v>
      </c>
      <c r="F48" s="64">
        <v>7</v>
      </c>
      <c r="G48">
        <f t="shared" si="0"/>
        <v>0.45683269332431115</v>
      </c>
      <c r="H48">
        <f t="shared" si="1"/>
        <v>-0.83786091975811994</v>
      </c>
    </row>
    <row r="49" spans="1:8" hidden="1">
      <c r="A49" s="64">
        <v>1007</v>
      </c>
      <c r="B49" s="4" t="s">
        <v>258</v>
      </c>
      <c r="C49" s="4" t="s">
        <v>261</v>
      </c>
      <c r="D49" s="4" t="s">
        <v>262</v>
      </c>
      <c r="E49" s="64">
        <v>41</v>
      </c>
      <c r="F49" s="64">
        <v>10</v>
      </c>
      <c r="G49">
        <f t="shared" si="0"/>
        <v>0.65718535971720649</v>
      </c>
      <c r="H49">
        <f t="shared" si="1"/>
        <v>-0.29193185589997478</v>
      </c>
    </row>
    <row r="50" spans="1:8" hidden="1">
      <c r="A50" s="64">
        <v>1009</v>
      </c>
      <c r="B50" s="4" t="s">
        <v>258</v>
      </c>
      <c r="C50" s="4" t="s">
        <v>263</v>
      </c>
      <c r="D50" s="4" t="s">
        <v>264</v>
      </c>
      <c r="E50" s="64">
        <v>7</v>
      </c>
      <c r="F50" s="64">
        <v>9</v>
      </c>
      <c r="G50">
        <f t="shared" si="0"/>
        <v>3.7913481775530035E-2</v>
      </c>
      <c r="H50">
        <f t="shared" si="1"/>
        <v>-0.4739082105193565</v>
      </c>
    </row>
    <row r="51" spans="1:8" hidden="1">
      <c r="A51" s="64">
        <v>1013</v>
      </c>
      <c r="B51" s="4" t="s">
        <v>258</v>
      </c>
      <c r="C51" s="4" t="s">
        <v>265</v>
      </c>
      <c r="D51" s="4" t="s">
        <v>266</v>
      </c>
      <c r="E51" s="64">
        <v>-2</v>
      </c>
      <c r="F51" s="64">
        <v>12</v>
      </c>
      <c r="G51">
        <f t="shared" si="0"/>
        <v>-0.12601142709138433</v>
      </c>
      <c r="H51">
        <f t="shared" si="1"/>
        <v>7.2020853338788646E-2</v>
      </c>
    </row>
    <row r="52" spans="1:8" hidden="1">
      <c r="A52" s="64">
        <v>1014</v>
      </c>
      <c r="B52" s="4" t="s">
        <v>267</v>
      </c>
      <c r="C52" s="4" t="s">
        <v>268</v>
      </c>
      <c r="D52" s="4" t="s">
        <v>224</v>
      </c>
      <c r="E52" s="64">
        <v>-5</v>
      </c>
      <c r="F52" s="64">
        <v>5</v>
      </c>
      <c r="G52">
        <f t="shared" si="0"/>
        <v>-0.18065306338035578</v>
      </c>
      <c r="H52">
        <f t="shared" si="1"/>
        <v>-1.2018136289968833</v>
      </c>
    </row>
    <row r="53" spans="1:8" hidden="1">
      <c r="A53" s="64">
        <v>1015</v>
      </c>
      <c r="B53" s="4" t="s">
        <v>258</v>
      </c>
      <c r="C53" s="4" t="s">
        <v>180</v>
      </c>
      <c r="D53" s="4" t="s">
        <v>159</v>
      </c>
      <c r="E53" s="64">
        <v>-8</v>
      </c>
      <c r="F53" s="64">
        <v>10</v>
      </c>
      <c r="G53">
        <f t="shared" si="0"/>
        <v>-0.23529469966932723</v>
      </c>
      <c r="H53">
        <f t="shared" si="1"/>
        <v>-0.29193185589997478</v>
      </c>
    </row>
    <row r="54" spans="1:8" hidden="1">
      <c r="A54" s="64">
        <v>1016</v>
      </c>
      <c r="B54" s="4" t="s">
        <v>269</v>
      </c>
      <c r="C54" s="4" t="s">
        <v>168</v>
      </c>
      <c r="D54" s="4" t="s">
        <v>270</v>
      </c>
      <c r="E54" s="64">
        <v>9</v>
      </c>
      <c r="F54" s="64">
        <v>8</v>
      </c>
      <c r="G54">
        <f t="shared" si="0"/>
        <v>7.4341239301511E-2</v>
      </c>
      <c r="H54">
        <f t="shared" si="1"/>
        <v>-0.65588456513873816</v>
      </c>
    </row>
    <row r="55" spans="1:8" hidden="1">
      <c r="A55" s="64">
        <v>1017</v>
      </c>
      <c r="B55" s="4" t="s">
        <v>258</v>
      </c>
      <c r="C55" s="4" t="s">
        <v>271</v>
      </c>
      <c r="D55" s="4" t="s">
        <v>272</v>
      </c>
      <c r="E55" s="64">
        <v>-4</v>
      </c>
      <c r="F55" s="64">
        <v>9</v>
      </c>
      <c r="G55">
        <f t="shared" si="0"/>
        <v>-0.16243918461736531</v>
      </c>
      <c r="H55">
        <f t="shared" si="1"/>
        <v>-0.4739082105193565</v>
      </c>
    </row>
    <row r="56" spans="1:8" hidden="1">
      <c r="A56" s="64">
        <v>1021</v>
      </c>
      <c r="B56" s="4" t="s">
        <v>258</v>
      </c>
      <c r="C56" s="4" t="s">
        <v>176</v>
      </c>
      <c r="D56" s="4" t="s">
        <v>273</v>
      </c>
      <c r="E56" s="64">
        <v>-21</v>
      </c>
      <c r="F56" s="64">
        <v>11</v>
      </c>
      <c r="G56">
        <f t="shared" si="0"/>
        <v>-0.47207512358820353</v>
      </c>
      <c r="H56">
        <f t="shared" si="1"/>
        <v>-0.10995550128059307</v>
      </c>
    </row>
    <row r="57" spans="1:8" hidden="1">
      <c r="A57" s="64">
        <v>1022</v>
      </c>
      <c r="B57" s="4" t="s">
        <v>274</v>
      </c>
      <c r="C57" s="4" t="s">
        <v>275</v>
      </c>
      <c r="D57" s="4" t="s">
        <v>276</v>
      </c>
      <c r="E57" s="64">
        <v>-8</v>
      </c>
      <c r="F57" s="64">
        <v>14</v>
      </c>
      <c r="G57">
        <f t="shared" si="0"/>
        <v>-0.23529469966932723</v>
      </c>
      <c r="H57">
        <f t="shared" si="1"/>
        <v>0.43597356257755204</v>
      </c>
    </row>
    <row r="58" spans="1:8" hidden="1">
      <c r="A58" s="64">
        <v>1023</v>
      </c>
      <c r="B58" s="4" t="s">
        <v>258</v>
      </c>
      <c r="C58" s="4" t="s">
        <v>277</v>
      </c>
      <c r="D58" s="4" t="s">
        <v>278</v>
      </c>
      <c r="E58" s="64">
        <v>-25</v>
      </c>
      <c r="F58" s="64">
        <v>10</v>
      </c>
      <c r="G58">
        <f t="shared" si="0"/>
        <v>-0.54493063864016544</v>
      </c>
      <c r="H58">
        <f t="shared" si="1"/>
        <v>-0.29193185589997478</v>
      </c>
    </row>
    <row r="59" spans="1:8" hidden="1">
      <c r="A59" s="64">
        <v>1024</v>
      </c>
      <c r="B59" s="4" t="s">
        <v>279</v>
      </c>
      <c r="C59" s="4" t="s">
        <v>280</v>
      </c>
      <c r="D59" s="4" t="s">
        <v>281</v>
      </c>
      <c r="E59" s="64">
        <v>11</v>
      </c>
      <c r="F59" s="64">
        <v>9</v>
      </c>
      <c r="G59">
        <f t="shared" si="0"/>
        <v>0.11076899682749197</v>
      </c>
      <c r="H59">
        <f t="shared" si="1"/>
        <v>-0.4739082105193565</v>
      </c>
    </row>
    <row r="60" spans="1:8" hidden="1">
      <c r="A60" s="64">
        <v>1026</v>
      </c>
      <c r="B60" s="4" t="s">
        <v>279</v>
      </c>
      <c r="C60" s="4" t="s">
        <v>215</v>
      </c>
      <c r="D60" s="4" t="s">
        <v>282</v>
      </c>
      <c r="E60" s="64">
        <v>4</v>
      </c>
      <c r="F60" s="64">
        <v>11</v>
      </c>
      <c r="G60">
        <f t="shared" si="0"/>
        <v>-1.6728154513441416E-2</v>
      </c>
      <c r="H60">
        <f t="shared" si="1"/>
        <v>-0.10995550128059307</v>
      </c>
    </row>
    <row r="61" spans="1:8" hidden="1">
      <c r="A61" s="64">
        <v>1030</v>
      </c>
      <c r="B61" s="4" t="s">
        <v>279</v>
      </c>
      <c r="C61" s="4" t="s">
        <v>283</v>
      </c>
      <c r="D61" s="4" t="s">
        <v>284</v>
      </c>
      <c r="E61" s="64">
        <v>-9</v>
      </c>
      <c r="F61" s="64">
        <v>10</v>
      </c>
      <c r="G61">
        <f t="shared" si="0"/>
        <v>-0.25350857843231772</v>
      </c>
      <c r="H61">
        <f t="shared" si="1"/>
        <v>-0.29193185589997478</v>
      </c>
    </row>
    <row r="62" spans="1:8" hidden="1">
      <c r="A62" s="64">
        <v>1032</v>
      </c>
      <c r="B62" s="4" t="s">
        <v>279</v>
      </c>
      <c r="C62" s="4" t="s">
        <v>229</v>
      </c>
      <c r="D62" s="4" t="s">
        <v>285</v>
      </c>
      <c r="E62" s="64">
        <v>158</v>
      </c>
      <c r="F62" s="64">
        <v>9</v>
      </c>
      <c r="G62">
        <f t="shared" si="0"/>
        <v>2.788209174987093</v>
      </c>
      <c r="H62">
        <f t="shared" si="1"/>
        <v>-0.4739082105193565</v>
      </c>
    </row>
    <row r="63" spans="1:8" hidden="1">
      <c r="A63" s="64">
        <v>1035</v>
      </c>
      <c r="B63" s="4" t="s">
        <v>286</v>
      </c>
      <c r="C63" s="4" t="s">
        <v>287</v>
      </c>
      <c r="D63" s="4" t="s">
        <v>288</v>
      </c>
      <c r="E63" s="64">
        <v>-10</v>
      </c>
      <c r="F63" s="64">
        <v>10</v>
      </c>
      <c r="G63">
        <f t="shared" si="0"/>
        <v>-0.27172245719530819</v>
      </c>
      <c r="H63">
        <f t="shared" si="1"/>
        <v>-0.29193185589997478</v>
      </c>
    </row>
    <row r="64" spans="1:8" hidden="1">
      <c r="A64" s="64">
        <v>1036</v>
      </c>
      <c r="B64" s="4" t="s">
        <v>279</v>
      </c>
      <c r="C64" s="4" t="s">
        <v>289</v>
      </c>
      <c r="D64" s="4" t="s">
        <v>290</v>
      </c>
      <c r="E64" s="64">
        <v>-13</v>
      </c>
      <c r="F64" s="64">
        <v>7</v>
      </c>
      <c r="G64">
        <f t="shared" si="0"/>
        <v>-0.32636409348427964</v>
      </c>
      <c r="H64">
        <f t="shared" si="1"/>
        <v>-0.83786091975811994</v>
      </c>
    </row>
    <row r="65" spans="1:8" hidden="1">
      <c r="A65" s="64">
        <v>1038</v>
      </c>
      <c r="B65" s="4" t="s">
        <v>291</v>
      </c>
      <c r="C65" s="4" t="s">
        <v>292</v>
      </c>
      <c r="D65" s="4" t="s">
        <v>293</v>
      </c>
      <c r="E65" s="64">
        <v>-2</v>
      </c>
      <c r="F65" s="64">
        <v>7</v>
      </c>
      <c r="G65">
        <f t="shared" si="0"/>
        <v>-0.12601142709138433</v>
      </c>
      <c r="H65">
        <f t="shared" si="1"/>
        <v>-0.83786091975811994</v>
      </c>
    </row>
    <row r="66" spans="1:8" hidden="1">
      <c r="A66" s="64">
        <v>1041</v>
      </c>
      <c r="B66" s="4" t="s">
        <v>294</v>
      </c>
      <c r="C66" s="4" t="s">
        <v>295</v>
      </c>
      <c r="D66" s="4" t="s">
        <v>296</v>
      </c>
      <c r="E66" s="64">
        <v>-35</v>
      </c>
      <c r="F66" s="64">
        <v>7</v>
      </c>
      <c r="G66">
        <f t="shared" si="0"/>
        <v>-0.72706942627007021</v>
      </c>
      <c r="H66">
        <f t="shared" si="1"/>
        <v>-0.83786091975811994</v>
      </c>
    </row>
    <row r="67" spans="1:8" hidden="1">
      <c r="A67" s="64">
        <v>1044</v>
      </c>
      <c r="B67" s="4" t="s">
        <v>291</v>
      </c>
      <c r="C67" s="4" t="s">
        <v>297</v>
      </c>
      <c r="D67" s="4" t="s">
        <v>298</v>
      </c>
      <c r="E67" s="64">
        <v>-23</v>
      </c>
      <c r="F67" s="64">
        <v>11</v>
      </c>
      <c r="G67">
        <f t="shared" si="0"/>
        <v>-0.50850288111418451</v>
      </c>
      <c r="H67">
        <f t="shared" si="1"/>
        <v>-0.10995550128059307</v>
      </c>
    </row>
    <row r="68" spans="1:8" hidden="1">
      <c r="A68" s="64">
        <v>1048</v>
      </c>
      <c r="B68" s="4" t="s">
        <v>291</v>
      </c>
      <c r="C68" s="4" t="s">
        <v>299</v>
      </c>
      <c r="D68" s="4" t="s">
        <v>300</v>
      </c>
      <c r="E68" s="64">
        <v>-2</v>
      </c>
      <c r="F68" s="64">
        <v>14</v>
      </c>
      <c r="G68">
        <f t="shared" si="0"/>
        <v>-0.12601142709138433</v>
      </c>
      <c r="H68">
        <f t="shared" si="1"/>
        <v>0.43597356257755204</v>
      </c>
    </row>
    <row r="69" spans="1:8" hidden="1">
      <c r="A69" s="64">
        <v>1050</v>
      </c>
      <c r="B69" s="4" t="s">
        <v>301</v>
      </c>
      <c r="C69" s="4" t="s">
        <v>302</v>
      </c>
      <c r="D69" s="4" t="s">
        <v>303</v>
      </c>
      <c r="E69" s="64">
        <v>8</v>
      </c>
      <c r="F69" s="64">
        <v>12</v>
      </c>
      <c r="G69">
        <f t="shared" si="0"/>
        <v>5.6127360538520514E-2</v>
      </c>
      <c r="H69">
        <f t="shared" si="1"/>
        <v>7.2020853338788646E-2</v>
      </c>
    </row>
    <row r="70" spans="1:8" hidden="1">
      <c r="A70" s="64">
        <v>1052</v>
      </c>
      <c r="B70" s="4" t="s">
        <v>301</v>
      </c>
      <c r="C70" s="4" t="s">
        <v>304</v>
      </c>
      <c r="D70" s="4" t="s">
        <v>305</v>
      </c>
      <c r="E70" s="64">
        <v>15</v>
      </c>
      <c r="F70" s="64">
        <v>10</v>
      </c>
      <c r="G70">
        <f t="shared" si="0"/>
        <v>0.18362451187945389</v>
      </c>
      <c r="H70">
        <f t="shared" si="1"/>
        <v>-0.29193185589997478</v>
      </c>
    </row>
    <row r="71" spans="1:8" hidden="1">
      <c r="A71" s="64">
        <v>1054</v>
      </c>
      <c r="B71" s="4" t="s">
        <v>301</v>
      </c>
      <c r="C71" s="4" t="s">
        <v>229</v>
      </c>
      <c r="D71" s="4" t="s">
        <v>306</v>
      </c>
      <c r="E71" s="64">
        <v>22</v>
      </c>
      <c r="F71" s="64">
        <v>10</v>
      </c>
      <c r="G71">
        <f t="shared" si="0"/>
        <v>0.31112166322038726</v>
      </c>
      <c r="H71">
        <f t="shared" si="1"/>
        <v>-0.29193185589997478</v>
      </c>
    </row>
    <row r="72" spans="1:8" hidden="1">
      <c r="A72" s="64">
        <v>1055</v>
      </c>
      <c r="B72" s="4" t="s">
        <v>307</v>
      </c>
      <c r="C72" s="4" t="s">
        <v>308</v>
      </c>
      <c r="D72" s="4" t="s">
        <v>309</v>
      </c>
      <c r="E72" s="64">
        <v>-2</v>
      </c>
      <c r="F72" s="64">
        <v>13</v>
      </c>
      <c r="G72">
        <f t="shared" ref="G72:G135" si="2">STANDARDIZE(E72,$C$341,$C$342)</f>
        <v>-0.12601142709138433</v>
      </c>
      <c r="H72">
        <f t="shared" ref="H72:H135" si="3">STANDARDIZE(F72,$D$341,$D$342)</f>
        <v>0.25399720795817032</v>
      </c>
    </row>
    <row r="73" spans="1:8" hidden="1">
      <c r="A73" s="64">
        <v>1060</v>
      </c>
      <c r="B73" s="4" t="s">
        <v>301</v>
      </c>
      <c r="C73" s="4" t="s">
        <v>310</v>
      </c>
      <c r="D73" s="4" t="s">
        <v>290</v>
      </c>
      <c r="E73" s="64">
        <v>-7</v>
      </c>
      <c r="F73" s="64">
        <v>9</v>
      </c>
      <c r="G73">
        <f t="shared" si="2"/>
        <v>-0.21708082090633676</v>
      </c>
      <c r="H73">
        <f t="shared" si="3"/>
        <v>-0.4739082105193565</v>
      </c>
    </row>
    <row r="74" spans="1:8" hidden="1">
      <c r="A74" s="64">
        <v>1064</v>
      </c>
      <c r="B74" s="4" t="s">
        <v>182</v>
      </c>
      <c r="C74" s="4" t="s">
        <v>311</v>
      </c>
      <c r="D74" s="4" t="s">
        <v>312</v>
      </c>
      <c r="E74" s="64">
        <v>-1</v>
      </c>
      <c r="F74" s="64">
        <v>8</v>
      </c>
      <c r="G74">
        <f t="shared" si="2"/>
        <v>-0.10779754832839383</v>
      </c>
      <c r="H74">
        <f t="shared" si="3"/>
        <v>-0.65588456513873816</v>
      </c>
    </row>
    <row r="75" spans="1:8" hidden="1">
      <c r="A75" s="64">
        <v>1066</v>
      </c>
      <c r="B75" s="4" t="s">
        <v>182</v>
      </c>
      <c r="C75" s="4" t="s">
        <v>313</v>
      </c>
      <c r="D75" s="4" t="s">
        <v>313</v>
      </c>
      <c r="E75" s="64">
        <v>0</v>
      </c>
      <c r="F75" s="64">
        <v>9</v>
      </c>
      <c r="G75">
        <f t="shared" si="2"/>
        <v>-8.9583669565403354E-2</v>
      </c>
      <c r="H75">
        <f t="shared" si="3"/>
        <v>-0.4739082105193565</v>
      </c>
    </row>
    <row r="76" spans="1:8" hidden="1">
      <c r="A76" s="64">
        <v>1068</v>
      </c>
      <c r="B76" s="4" t="s">
        <v>182</v>
      </c>
      <c r="C76" s="4" t="s">
        <v>229</v>
      </c>
      <c r="D76" s="4" t="s">
        <v>230</v>
      </c>
      <c r="E76" s="64">
        <v>2</v>
      </c>
      <c r="F76" s="64">
        <v>13</v>
      </c>
      <c r="G76">
        <f t="shared" si="2"/>
        <v>-5.3155912039422382E-2</v>
      </c>
      <c r="H76">
        <f t="shared" si="3"/>
        <v>0.25399720795817032</v>
      </c>
    </row>
    <row r="77" spans="1:8" hidden="1">
      <c r="A77" s="64">
        <v>1070</v>
      </c>
      <c r="B77" s="4" t="s">
        <v>182</v>
      </c>
      <c r="C77" s="4" t="s">
        <v>314</v>
      </c>
      <c r="D77" s="4" t="s">
        <v>315</v>
      </c>
      <c r="E77" s="64">
        <v>-10</v>
      </c>
      <c r="F77" s="64">
        <v>6</v>
      </c>
      <c r="G77">
        <f t="shared" si="2"/>
        <v>-0.27172245719530819</v>
      </c>
      <c r="H77">
        <f t="shared" si="3"/>
        <v>-1.0198372743775017</v>
      </c>
    </row>
    <row r="78" spans="1:8" hidden="1">
      <c r="A78" s="64">
        <v>1074</v>
      </c>
      <c r="B78" s="4" t="s">
        <v>182</v>
      </c>
      <c r="C78" s="4" t="s">
        <v>316</v>
      </c>
      <c r="D78" s="4" t="s">
        <v>317</v>
      </c>
      <c r="E78" s="64">
        <v>-14</v>
      </c>
      <c r="F78" s="64">
        <v>13</v>
      </c>
      <c r="G78">
        <f t="shared" si="2"/>
        <v>-0.34457797224727016</v>
      </c>
      <c r="H78">
        <f t="shared" si="3"/>
        <v>0.25399720795817032</v>
      </c>
    </row>
    <row r="79" spans="1:8" hidden="1">
      <c r="A79" s="64">
        <v>1077</v>
      </c>
      <c r="B79" s="4" t="s">
        <v>214</v>
      </c>
      <c r="C79" s="4" t="s">
        <v>318</v>
      </c>
      <c r="D79" s="4" t="s">
        <v>319</v>
      </c>
      <c r="E79" s="64">
        <v>80</v>
      </c>
      <c r="F79" s="64">
        <v>9</v>
      </c>
      <c r="G79">
        <f t="shared" si="2"/>
        <v>1.3675266314738355</v>
      </c>
      <c r="H79">
        <f t="shared" si="3"/>
        <v>-0.4739082105193565</v>
      </c>
    </row>
    <row r="80" spans="1:8" hidden="1">
      <c r="A80" s="64">
        <v>1078</v>
      </c>
      <c r="B80" s="4" t="s">
        <v>164</v>
      </c>
      <c r="C80" s="4" t="s">
        <v>320</v>
      </c>
      <c r="D80" s="4" t="s">
        <v>321</v>
      </c>
      <c r="E80" s="64">
        <v>-4</v>
      </c>
      <c r="F80" s="64">
        <v>6</v>
      </c>
      <c r="G80">
        <f t="shared" si="2"/>
        <v>-0.16243918461736531</v>
      </c>
      <c r="H80">
        <f t="shared" si="3"/>
        <v>-1.0198372743775017</v>
      </c>
    </row>
    <row r="81" spans="1:8" hidden="1">
      <c r="A81" s="64">
        <v>1082</v>
      </c>
      <c r="B81" s="4" t="s">
        <v>164</v>
      </c>
      <c r="C81" s="4" t="s">
        <v>322</v>
      </c>
      <c r="D81" s="4" t="s">
        <v>323</v>
      </c>
      <c r="E81" s="64">
        <v>-2</v>
      </c>
      <c r="F81" s="64">
        <v>9</v>
      </c>
      <c r="G81">
        <f t="shared" si="2"/>
        <v>-0.12601142709138433</v>
      </c>
      <c r="H81">
        <f t="shared" si="3"/>
        <v>-0.4739082105193565</v>
      </c>
    </row>
    <row r="82" spans="1:8" hidden="1">
      <c r="A82" s="64">
        <v>1084</v>
      </c>
      <c r="B82" s="4" t="s">
        <v>324</v>
      </c>
      <c r="C82" s="4" t="s">
        <v>202</v>
      </c>
      <c r="D82" s="4" t="s">
        <v>325</v>
      </c>
      <c r="E82" s="64">
        <v>-12</v>
      </c>
      <c r="F82" s="64">
        <v>9</v>
      </c>
      <c r="G82">
        <f t="shared" si="2"/>
        <v>-0.30815021472128917</v>
      </c>
      <c r="H82">
        <f t="shared" si="3"/>
        <v>-0.4739082105193565</v>
      </c>
    </row>
    <row r="83" spans="1:8" hidden="1">
      <c r="A83" s="64">
        <v>1085</v>
      </c>
      <c r="B83" s="4" t="s">
        <v>167</v>
      </c>
      <c r="C83" s="4" t="s">
        <v>296</v>
      </c>
      <c r="D83" s="4" t="s">
        <v>326</v>
      </c>
      <c r="E83" s="64">
        <v>-2</v>
      </c>
      <c r="F83" s="64">
        <v>8</v>
      </c>
      <c r="G83">
        <f t="shared" si="2"/>
        <v>-0.12601142709138433</v>
      </c>
      <c r="H83">
        <f t="shared" si="3"/>
        <v>-0.65588456513873816</v>
      </c>
    </row>
    <row r="84" spans="1:8" hidden="1">
      <c r="A84" s="64">
        <v>1086</v>
      </c>
      <c r="B84" s="4" t="s">
        <v>164</v>
      </c>
      <c r="C84" s="4" t="s">
        <v>230</v>
      </c>
      <c r="D84" s="4" t="s">
        <v>327</v>
      </c>
      <c r="E84" s="64">
        <v>13</v>
      </c>
      <c r="F84" s="64">
        <v>29</v>
      </c>
      <c r="G84">
        <f t="shared" si="2"/>
        <v>0.14719675435347293</v>
      </c>
      <c r="H84">
        <f t="shared" si="3"/>
        <v>3.1656188818682778</v>
      </c>
    </row>
    <row r="85" spans="1:8" hidden="1">
      <c r="A85" s="64">
        <v>1088</v>
      </c>
      <c r="B85" s="4" t="s">
        <v>164</v>
      </c>
      <c r="C85" s="4" t="s">
        <v>328</v>
      </c>
      <c r="D85" s="4" t="s">
        <v>329</v>
      </c>
      <c r="E85" s="64">
        <v>-12</v>
      </c>
      <c r="F85" s="64">
        <v>12</v>
      </c>
      <c r="G85">
        <f t="shared" si="2"/>
        <v>-0.30815021472128917</v>
      </c>
      <c r="H85">
        <f t="shared" si="3"/>
        <v>7.2020853338788646E-2</v>
      </c>
    </row>
    <row r="86" spans="1:8" hidden="1">
      <c r="A86" s="64">
        <v>1091</v>
      </c>
      <c r="B86" s="4" t="s">
        <v>286</v>
      </c>
      <c r="C86" s="4" t="s">
        <v>330</v>
      </c>
      <c r="D86" s="4" t="s">
        <v>168</v>
      </c>
      <c r="E86" s="64">
        <v>1</v>
      </c>
      <c r="F86" s="64">
        <v>10</v>
      </c>
      <c r="G86">
        <f t="shared" si="2"/>
        <v>-7.1369790802412875E-2</v>
      </c>
      <c r="H86">
        <f t="shared" si="3"/>
        <v>-0.29193185589997478</v>
      </c>
    </row>
    <row r="87" spans="1:8" hidden="1">
      <c r="A87" s="64">
        <v>1092</v>
      </c>
      <c r="B87" s="4" t="s">
        <v>164</v>
      </c>
      <c r="C87" s="4" t="s">
        <v>331</v>
      </c>
      <c r="D87" s="4" t="s">
        <v>332</v>
      </c>
      <c r="E87" s="64">
        <v>-11</v>
      </c>
      <c r="F87" s="64">
        <v>9</v>
      </c>
      <c r="G87">
        <f t="shared" si="2"/>
        <v>-0.28993633595829871</v>
      </c>
      <c r="H87">
        <f t="shared" si="3"/>
        <v>-0.4739082105193565</v>
      </c>
    </row>
    <row r="88" spans="1:8" hidden="1">
      <c r="A88" s="64">
        <v>1118</v>
      </c>
      <c r="B88" s="4" t="s">
        <v>167</v>
      </c>
      <c r="C88" s="4" t="s">
        <v>333</v>
      </c>
      <c r="D88" s="4" t="s">
        <v>334</v>
      </c>
      <c r="E88" s="64">
        <v>-3</v>
      </c>
      <c r="F88" s="64">
        <v>15</v>
      </c>
      <c r="G88">
        <f t="shared" si="2"/>
        <v>-0.14422530585437479</v>
      </c>
      <c r="H88">
        <f t="shared" si="3"/>
        <v>0.61794991719693382</v>
      </c>
    </row>
    <row r="89" spans="1:8" hidden="1">
      <c r="A89" s="64">
        <v>1122</v>
      </c>
      <c r="B89" s="4" t="s">
        <v>335</v>
      </c>
      <c r="C89" s="4" t="s">
        <v>336</v>
      </c>
      <c r="D89" s="4" t="s">
        <v>337</v>
      </c>
      <c r="E89" s="64">
        <v>-3</v>
      </c>
      <c r="F89" s="64">
        <v>10</v>
      </c>
      <c r="G89">
        <f t="shared" si="2"/>
        <v>-0.14422530585437479</v>
      </c>
      <c r="H89">
        <f t="shared" si="3"/>
        <v>-0.29193185589997478</v>
      </c>
    </row>
    <row r="90" spans="1:8" hidden="1">
      <c r="A90" s="64">
        <v>1136</v>
      </c>
      <c r="B90" s="4" t="s">
        <v>338</v>
      </c>
      <c r="C90" s="4" t="s">
        <v>339</v>
      </c>
      <c r="D90" s="4" t="s">
        <v>340</v>
      </c>
      <c r="E90" s="64">
        <v>-19</v>
      </c>
      <c r="F90" s="64">
        <v>13</v>
      </c>
      <c r="G90">
        <f t="shared" si="2"/>
        <v>-0.43564736606222254</v>
      </c>
      <c r="H90">
        <f t="shared" si="3"/>
        <v>0.25399720795817032</v>
      </c>
    </row>
    <row r="91" spans="1:8" hidden="1">
      <c r="A91" s="64">
        <v>1140</v>
      </c>
      <c r="B91" s="4" t="s">
        <v>341</v>
      </c>
      <c r="C91" s="4" t="s">
        <v>342</v>
      </c>
      <c r="D91" s="4" t="s">
        <v>343</v>
      </c>
      <c r="E91" s="64">
        <v>6</v>
      </c>
      <c r="F91" s="64">
        <v>39</v>
      </c>
      <c r="G91">
        <f t="shared" si="2"/>
        <v>1.9699603012539549E-2</v>
      </c>
      <c r="H91">
        <f t="shared" si="3"/>
        <v>4.9853824280620946</v>
      </c>
    </row>
    <row r="92" spans="1:8" hidden="1">
      <c r="A92" s="64">
        <v>1148</v>
      </c>
      <c r="B92" s="4" t="s">
        <v>167</v>
      </c>
      <c r="C92" s="4" t="s">
        <v>292</v>
      </c>
      <c r="D92" s="4" t="s">
        <v>344</v>
      </c>
      <c r="E92" s="64">
        <v>-1</v>
      </c>
      <c r="F92" s="64">
        <v>13</v>
      </c>
      <c r="G92">
        <f t="shared" si="2"/>
        <v>-0.10779754832839383</v>
      </c>
      <c r="H92">
        <f t="shared" si="3"/>
        <v>0.25399720795817032</v>
      </c>
    </row>
    <row r="93" spans="1:8" hidden="1">
      <c r="A93" s="64">
        <v>1159</v>
      </c>
      <c r="B93" s="4" t="s">
        <v>345</v>
      </c>
      <c r="C93" s="4" t="s">
        <v>346</v>
      </c>
      <c r="D93" s="4" t="s">
        <v>347</v>
      </c>
      <c r="E93" s="64">
        <v>-23</v>
      </c>
      <c r="F93" s="64">
        <v>12</v>
      </c>
      <c r="G93">
        <f t="shared" si="2"/>
        <v>-0.50850288111418451</v>
      </c>
      <c r="H93">
        <f t="shared" si="3"/>
        <v>7.2020853338788646E-2</v>
      </c>
    </row>
    <row r="94" spans="1:8" hidden="1">
      <c r="A94" s="64">
        <v>1162</v>
      </c>
      <c r="B94" s="4" t="s">
        <v>341</v>
      </c>
      <c r="C94" s="4" t="s">
        <v>287</v>
      </c>
      <c r="D94" s="4" t="s">
        <v>225</v>
      </c>
      <c r="E94" s="64">
        <v>44</v>
      </c>
      <c r="F94" s="64">
        <v>13</v>
      </c>
      <c r="G94">
        <f t="shared" si="2"/>
        <v>0.71182699600617794</v>
      </c>
      <c r="H94">
        <f t="shared" si="3"/>
        <v>0.25399720795817032</v>
      </c>
    </row>
    <row r="95" spans="1:8" hidden="1">
      <c r="A95" s="64">
        <v>1164</v>
      </c>
      <c r="B95" s="4" t="s">
        <v>190</v>
      </c>
      <c r="C95" s="4" t="s">
        <v>248</v>
      </c>
      <c r="D95" s="4" t="s">
        <v>239</v>
      </c>
      <c r="E95" s="64">
        <v>-18</v>
      </c>
      <c r="F95" s="64">
        <v>12</v>
      </c>
      <c r="G95">
        <f t="shared" si="2"/>
        <v>-0.41743348729923208</v>
      </c>
      <c r="H95">
        <f t="shared" si="3"/>
        <v>7.2020853338788646E-2</v>
      </c>
    </row>
    <row r="96" spans="1:8" hidden="1">
      <c r="A96" s="64">
        <v>1175</v>
      </c>
      <c r="B96" s="4" t="s">
        <v>190</v>
      </c>
      <c r="C96" s="4" t="s">
        <v>348</v>
      </c>
      <c r="D96" s="4" t="s">
        <v>349</v>
      </c>
      <c r="E96" s="64">
        <v>9</v>
      </c>
      <c r="F96" s="64">
        <v>7</v>
      </c>
      <c r="G96">
        <f t="shared" si="2"/>
        <v>7.4341239301511E-2</v>
      </c>
      <c r="H96">
        <f t="shared" si="3"/>
        <v>-0.83786091975811994</v>
      </c>
    </row>
    <row r="97" spans="1:8" hidden="1">
      <c r="A97" s="64">
        <v>1177</v>
      </c>
      <c r="B97" s="4" t="s">
        <v>211</v>
      </c>
      <c r="C97" s="4" t="s">
        <v>282</v>
      </c>
      <c r="D97" s="4" t="s">
        <v>350</v>
      </c>
      <c r="E97" s="64">
        <v>-6</v>
      </c>
      <c r="F97" s="64">
        <v>10</v>
      </c>
      <c r="G97">
        <f t="shared" si="2"/>
        <v>-0.19886694214334627</v>
      </c>
      <c r="H97">
        <f t="shared" si="3"/>
        <v>-0.29193185589997478</v>
      </c>
    </row>
    <row r="98" spans="1:8" hidden="1">
      <c r="A98" s="64">
        <v>1186</v>
      </c>
      <c r="B98" s="4" t="s">
        <v>294</v>
      </c>
      <c r="C98" s="4" t="s">
        <v>351</v>
      </c>
      <c r="D98" s="4" t="s">
        <v>336</v>
      </c>
      <c r="E98" s="64">
        <v>-15</v>
      </c>
      <c r="F98" s="64">
        <v>16</v>
      </c>
      <c r="G98">
        <f t="shared" si="2"/>
        <v>-0.36279185101026062</v>
      </c>
      <c r="H98">
        <f t="shared" si="3"/>
        <v>0.79992627181631548</v>
      </c>
    </row>
    <row r="99" spans="1:8" hidden="1">
      <c r="A99" s="64">
        <v>1202</v>
      </c>
      <c r="B99" s="4" t="s">
        <v>338</v>
      </c>
      <c r="C99" s="4" t="s">
        <v>352</v>
      </c>
      <c r="D99" s="4" t="s">
        <v>353</v>
      </c>
      <c r="E99" s="64">
        <v>-5</v>
      </c>
      <c r="F99" s="64">
        <v>11</v>
      </c>
      <c r="G99">
        <f t="shared" si="2"/>
        <v>-0.18065306338035578</v>
      </c>
      <c r="H99">
        <f t="shared" si="3"/>
        <v>-0.10995550128059307</v>
      </c>
    </row>
    <row r="100" spans="1:8" hidden="1">
      <c r="A100" s="64">
        <v>1213</v>
      </c>
      <c r="B100" s="4" t="s">
        <v>233</v>
      </c>
      <c r="C100" s="4" t="s">
        <v>354</v>
      </c>
      <c r="D100" s="4" t="s">
        <v>355</v>
      </c>
      <c r="E100" s="64">
        <v>-4</v>
      </c>
      <c r="F100" s="64">
        <v>12</v>
      </c>
      <c r="G100">
        <f t="shared" si="2"/>
        <v>-0.16243918461736531</v>
      </c>
      <c r="H100">
        <f t="shared" si="3"/>
        <v>7.2020853338788646E-2</v>
      </c>
    </row>
    <row r="101" spans="1:8" hidden="1">
      <c r="A101" s="64">
        <v>1215</v>
      </c>
      <c r="B101" s="4" t="s">
        <v>356</v>
      </c>
      <c r="C101" s="4" t="s">
        <v>357</v>
      </c>
      <c r="D101" s="4" t="s">
        <v>358</v>
      </c>
      <c r="E101" s="64">
        <v>-9</v>
      </c>
      <c r="F101" s="64">
        <v>10</v>
      </c>
      <c r="G101">
        <f t="shared" si="2"/>
        <v>-0.25350857843231772</v>
      </c>
      <c r="H101">
        <f t="shared" si="3"/>
        <v>-0.29193185589997478</v>
      </c>
    </row>
    <row r="102" spans="1:8" hidden="1">
      <c r="A102" s="64">
        <v>1221</v>
      </c>
      <c r="B102" s="4" t="s">
        <v>359</v>
      </c>
      <c r="C102" s="4" t="s">
        <v>360</v>
      </c>
      <c r="D102" s="4" t="s">
        <v>361</v>
      </c>
      <c r="E102" s="64">
        <v>-6</v>
      </c>
      <c r="F102" s="64">
        <v>9</v>
      </c>
      <c r="G102">
        <f t="shared" si="2"/>
        <v>-0.19886694214334627</v>
      </c>
      <c r="H102">
        <f t="shared" si="3"/>
        <v>-0.4739082105193565</v>
      </c>
    </row>
    <row r="103" spans="1:8" hidden="1">
      <c r="A103" s="64">
        <v>1228</v>
      </c>
      <c r="B103" s="4" t="s">
        <v>338</v>
      </c>
      <c r="C103" s="4" t="s">
        <v>362</v>
      </c>
      <c r="D103" s="4" t="s">
        <v>363</v>
      </c>
      <c r="E103" s="64">
        <v>-5</v>
      </c>
      <c r="F103" s="64">
        <v>17</v>
      </c>
      <c r="G103">
        <f t="shared" si="2"/>
        <v>-0.18065306338035578</v>
      </c>
      <c r="H103">
        <f t="shared" si="3"/>
        <v>0.98190262643569715</v>
      </c>
    </row>
    <row r="104" spans="1:8" hidden="1">
      <c r="A104" s="64">
        <v>1248</v>
      </c>
      <c r="B104" s="4" t="s">
        <v>341</v>
      </c>
      <c r="C104" s="4" t="s">
        <v>364</v>
      </c>
      <c r="D104" s="4" t="s">
        <v>223</v>
      </c>
      <c r="E104" s="64">
        <v>6</v>
      </c>
      <c r="F104" s="64">
        <v>11</v>
      </c>
      <c r="G104">
        <f t="shared" si="2"/>
        <v>1.9699603012539549E-2</v>
      </c>
      <c r="H104">
        <f t="shared" si="3"/>
        <v>-0.10995550128059307</v>
      </c>
    </row>
    <row r="105" spans="1:8" hidden="1">
      <c r="A105" s="64">
        <v>1253</v>
      </c>
      <c r="B105" s="4" t="s">
        <v>365</v>
      </c>
      <c r="C105" s="4" t="s">
        <v>248</v>
      </c>
      <c r="D105" s="4" t="s">
        <v>366</v>
      </c>
      <c r="E105" s="64">
        <v>-28</v>
      </c>
      <c r="F105" s="64">
        <v>11</v>
      </c>
      <c r="G105">
        <f t="shared" si="2"/>
        <v>-0.59957227492913689</v>
      </c>
      <c r="H105">
        <f t="shared" si="3"/>
        <v>-0.10995550128059307</v>
      </c>
    </row>
    <row r="106" spans="1:8" hidden="1">
      <c r="A106" s="64">
        <v>1258</v>
      </c>
      <c r="B106" s="4" t="s">
        <v>161</v>
      </c>
      <c r="C106" s="4" t="s">
        <v>367</v>
      </c>
      <c r="D106" s="4" t="s">
        <v>368</v>
      </c>
      <c r="E106" s="64">
        <v>9</v>
      </c>
      <c r="F106" s="64">
        <v>17</v>
      </c>
      <c r="G106">
        <f t="shared" si="2"/>
        <v>7.4341239301511E-2</v>
      </c>
      <c r="H106">
        <f t="shared" si="3"/>
        <v>0.98190262643569715</v>
      </c>
    </row>
    <row r="107" spans="1:8" hidden="1">
      <c r="A107" s="64">
        <v>1259</v>
      </c>
      <c r="B107" s="4" t="s">
        <v>211</v>
      </c>
      <c r="C107" s="4" t="s">
        <v>369</v>
      </c>
      <c r="D107" s="4" t="s">
        <v>370</v>
      </c>
      <c r="E107" s="64">
        <v>31</v>
      </c>
      <c r="F107" s="64">
        <v>49</v>
      </c>
      <c r="G107">
        <f t="shared" si="2"/>
        <v>0.47504657208730161</v>
      </c>
      <c r="H107">
        <f t="shared" si="3"/>
        <v>6.8051459742559111</v>
      </c>
    </row>
    <row r="108" spans="1:8" hidden="1">
      <c r="A108" s="64">
        <v>1270</v>
      </c>
      <c r="B108" s="4" t="s">
        <v>371</v>
      </c>
      <c r="C108" s="4" t="s">
        <v>372</v>
      </c>
      <c r="D108" s="4" t="s">
        <v>373</v>
      </c>
      <c r="E108" s="64">
        <v>39</v>
      </c>
      <c r="F108" s="64">
        <v>23</v>
      </c>
      <c r="G108">
        <f t="shared" si="2"/>
        <v>0.62075760219122555</v>
      </c>
      <c r="H108">
        <f t="shared" si="3"/>
        <v>2.0737607541519876</v>
      </c>
    </row>
    <row r="109" spans="1:8" hidden="1">
      <c r="A109" s="64">
        <v>1271</v>
      </c>
      <c r="B109" s="4" t="s">
        <v>338</v>
      </c>
      <c r="C109" s="4" t="s">
        <v>374</v>
      </c>
      <c r="D109" s="4" t="s">
        <v>375</v>
      </c>
      <c r="E109" s="64">
        <v>-22</v>
      </c>
      <c r="F109" s="64">
        <v>8</v>
      </c>
      <c r="G109">
        <f t="shared" si="2"/>
        <v>-0.49028900235119399</v>
      </c>
      <c r="H109">
        <f t="shared" si="3"/>
        <v>-0.65588456513873816</v>
      </c>
    </row>
    <row r="110" spans="1:8" hidden="1">
      <c r="A110" s="64">
        <v>1279</v>
      </c>
      <c r="B110" s="4" t="s">
        <v>324</v>
      </c>
      <c r="C110" s="4" t="s">
        <v>376</v>
      </c>
      <c r="D110" s="4" t="s">
        <v>377</v>
      </c>
      <c r="E110" s="64">
        <v>-17</v>
      </c>
      <c r="F110" s="64">
        <v>8</v>
      </c>
      <c r="G110">
        <f t="shared" si="2"/>
        <v>-0.39921960853624161</v>
      </c>
      <c r="H110">
        <f t="shared" si="3"/>
        <v>-0.65588456513873816</v>
      </c>
    </row>
    <row r="111" spans="1:8" hidden="1">
      <c r="A111" s="64">
        <v>1291</v>
      </c>
      <c r="B111" s="4" t="s">
        <v>378</v>
      </c>
      <c r="C111" s="4" t="s">
        <v>305</v>
      </c>
      <c r="D111" s="4" t="s">
        <v>379</v>
      </c>
      <c r="E111" s="64">
        <v>-10</v>
      </c>
      <c r="F111" s="64">
        <v>16</v>
      </c>
      <c r="G111">
        <f t="shared" si="2"/>
        <v>-0.27172245719530819</v>
      </c>
      <c r="H111">
        <f t="shared" si="3"/>
        <v>0.79992627181631548</v>
      </c>
    </row>
    <row r="112" spans="1:8" hidden="1">
      <c r="A112" s="64">
        <v>1292</v>
      </c>
      <c r="B112" s="4" t="s">
        <v>341</v>
      </c>
      <c r="C112" s="4" t="s">
        <v>380</v>
      </c>
      <c r="D112" s="4" t="s">
        <v>381</v>
      </c>
      <c r="E112" s="64">
        <v>-10</v>
      </c>
      <c r="F112" s="64">
        <v>17</v>
      </c>
      <c r="G112">
        <f t="shared" si="2"/>
        <v>-0.27172245719530819</v>
      </c>
      <c r="H112">
        <f t="shared" si="3"/>
        <v>0.98190262643569715</v>
      </c>
    </row>
    <row r="113" spans="1:8" hidden="1">
      <c r="A113" s="64">
        <v>1296</v>
      </c>
      <c r="B113" s="4" t="s">
        <v>382</v>
      </c>
      <c r="C113" s="4" t="s">
        <v>383</v>
      </c>
      <c r="D113" s="4" t="s">
        <v>384</v>
      </c>
      <c r="E113" s="64">
        <v>-11</v>
      </c>
      <c r="F113" s="64">
        <v>14</v>
      </c>
      <c r="G113">
        <f t="shared" si="2"/>
        <v>-0.28993633595829871</v>
      </c>
      <c r="H113">
        <f t="shared" si="3"/>
        <v>0.43597356257755204</v>
      </c>
    </row>
    <row r="114" spans="1:8" hidden="1">
      <c r="A114" s="64">
        <v>1297</v>
      </c>
      <c r="B114" s="4" t="s">
        <v>172</v>
      </c>
      <c r="C114" s="4" t="s">
        <v>256</v>
      </c>
      <c r="D114" s="4" t="s">
        <v>385</v>
      </c>
      <c r="E114" s="64">
        <v>-10</v>
      </c>
      <c r="F114" s="64">
        <v>14</v>
      </c>
      <c r="G114">
        <f t="shared" si="2"/>
        <v>-0.27172245719530819</v>
      </c>
      <c r="H114">
        <f t="shared" si="3"/>
        <v>0.43597356257755204</v>
      </c>
    </row>
    <row r="115" spans="1:8" hidden="1">
      <c r="A115" s="64">
        <v>1302</v>
      </c>
      <c r="B115" s="4" t="s">
        <v>167</v>
      </c>
      <c r="C115" s="4" t="s">
        <v>386</v>
      </c>
      <c r="D115" s="4" t="s">
        <v>387</v>
      </c>
      <c r="E115" s="64">
        <v>-10</v>
      </c>
      <c r="F115" s="64">
        <v>7</v>
      </c>
      <c r="G115">
        <f t="shared" si="2"/>
        <v>-0.27172245719530819</v>
      </c>
      <c r="H115">
        <f t="shared" si="3"/>
        <v>-0.83786091975811994</v>
      </c>
    </row>
    <row r="116" spans="1:8" hidden="1">
      <c r="A116" s="64">
        <v>1304</v>
      </c>
      <c r="B116" s="4" t="s">
        <v>167</v>
      </c>
      <c r="C116" s="4" t="s">
        <v>388</v>
      </c>
      <c r="D116" s="4" t="s">
        <v>389</v>
      </c>
      <c r="E116" s="64">
        <v>-19</v>
      </c>
      <c r="F116" s="64">
        <v>8</v>
      </c>
      <c r="G116">
        <f t="shared" si="2"/>
        <v>-0.43564736606222254</v>
      </c>
      <c r="H116">
        <f t="shared" si="3"/>
        <v>-0.65588456513873816</v>
      </c>
    </row>
    <row r="117" spans="1:8" hidden="1">
      <c r="A117" s="64">
        <v>1306</v>
      </c>
      <c r="B117" s="4" t="s">
        <v>390</v>
      </c>
      <c r="C117" s="4" t="s">
        <v>391</v>
      </c>
      <c r="D117" s="4" t="s">
        <v>156</v>
      </c>
      <c r="E117" s="64">
        <v>8</v>
      </c>
      <c r="F117" s="64">
        <v>13</v>
      </c>
      <c r="G117">
        <f t="shared" si="2"/>
        <v>5.6127360538520514E-2</v>
      </c>
      <c r="H117">
        <f t="shared" si="3"/>
        <v>0.25399720795817032</v>
      </c>
    </row>
    <row r="118" spans="1:8" hidden="1">
      <c r="A118" s="64">
        <v>1308</v>
      </c>
      <c r="B118" s="4" t="s">
        <v>167</v>
      </c>
      <c r="C118" s="4" t="s">
        <v>392</v>
      </c>
      <c r="D118" s="4" t="s">
        <v>393</v>
      </c>
      <c r="E118" s="64">
        <v>-3</v>
      </c>
      <c r="F118" s="64">
        <v>16</v>
      </c>
      <c r="G118">
        <f t="shared" si="2"/>
        <v>-0.14422530585437479</v>
      </c>
      <c r="H118">
        <f t="shared" si="3"/>
        <v>0.79992627181631548</v>
      </c>
    </row>
    <row r="119" spans="1:8" hidden="1">
      <c r="A119" s="64">
        <v>1310</v>
      </c>
      <c r="B119" s="4" t="s">
        <v>167</v>
      </c>
      <c r="C119" s="4" t="s">
        <v>394</v>
      </c>
      <c r="D119" s="4" t="s">
        <v>395</v>
      </c>
      <c r="E119" s="64">
        <v>-14</v>
      </c>
      <c r="F119" s="64">
        <v>8</v>
      </c>
      <c r="G119">
        <f t="shared" si="2"/>
        <v>-0.34457797224727016</v>
      </c>
      <c r="H119">
        <f t="shared" si="3"/>
        <v>-0.65588456513873816</v>
      </c>
    </row>
    <row r="120" spans="1:8" hidden="1">
      <c r="A120" s="64">
        <v>1312</v>
      </c>
      <c r="B120" s="4" t="s">
        <v>167</v>
      </c>
      <c r="C120" s="4" t="s">
        <v>396</v>
      </c>
      <c r="D120" s="4" t="s">
        <v>397</v>
      </c>
      <c r="E120" s="64">
        <v>-11</v>
      </c>
      <c r="F120" s="64">
        <v>8</v>
      </c>
      <c r="G120">
        <f t="shared" si="2"/>
        <v>-0.28993633595829871</v>
      </c>
      <c r="H120">
        <f t="shared" si="3"/>
        <v>-0.65588456513873816</v>
      </c>
    </row>
    <row r="121" spans="1:8" hidden="1">
      <c r="A121" s="64">
        <v>1314</v>
      </c>
      <c r="B121" s="4" t="s">
        <v>167</v>
      </c>
      <c r="C121" s="4" t="s">
        <v>398</v>
      </c>
      <c r="D121" s="4" t="s">
        <v>268</v>
      </c>
      <c r="E121" s="64">
        <v>-1</v>
      </c>
      <c r="F121" s="64">
        <v>10</v>
      </c>
      <c r="G121">
        <f t="shared" si="2"/>
        <v>-0.10779754832839383</v>
      </c>
      <c r="H121">
        <f t="shared" si="3"/>
        <v>-0.29193185589997478</v>
      </c>
    </row>
    <row r="122" spans="1:8" hidden="1">
      <c r="A122" s="64">
        <v>1318</v>
      </c>
      <c r="B122" s="4" t="s">
        <v>167</v>
      </c>
      <c r="C122" s="4" t="s">
        <v>159</v>
      </c>
      <c r="D122" s="4" t="s">
        <v>304</v>
      </c>
      <c r="E122" s="64">
        <v>-13</v>
      </c>
      <c r="F122" s="64">
        <v>15</v>
      </c>
      <c r="G122">
        <f t="shared" si="2"/>
        <v>-0.32636409348427964</v>
      </c>
      <c r="H122">
        <f t="shared" si="3"/>
        <v>0.61794991719693382</v>
      </c>
    </row>
    <row r="123" spans="1:8" hidden="1">
      <c r="A123" s="64">
        <v>1324</v>
      </c>
      <c r="B123" s="4" t="s">
        <v>167</v>
      </c>
      <c r="C123" s="4" t="s">
        <v>354</v>
      </c>
      <c r="D123" s="4" t="s">
        <v>298</v>
      </c>
      <c r="E123" s="64">
        <v>-6</v>
      </c>
      <c r="F123" s="64">
        <v>14</v>
      </c>
      <c r="G123">
        <f t="shared" si="2"/>
        <v>-0.19886694214334627</v>
      </c>
      <c r="H123">
        <f t="shared" si="3"/>
        <v>0.43597356257755204</v>
      </c>
    </row>
    <row r="124" spans="1:8" hidden="1">
      <c r="A124" s="64">
        <v>1326</v>
      </c>
      <c r="B124" s="4" t="s">
        <v>167</v>
      </c>
      <c r="C124" s="4" t="s">
        <v>399</v>
      </c>
      <c r="D124" s="4" t="s">
        <v>400</v>
      </c>
      <c r="E124" s="64">
        <v>-16</v>
      </c>
      <c r="F124" s="64">
        <v>15</v>
      </c>
      <c r="G124">
        <f t="shared" si="2"/>
        <v>-0.38100572977325109</v>
      </c>
      <c r="H124">
        <f t="shared" si="3"/>
        <v>0.61794991719693382</v>
      </c>
    </row>
    <row r="125" spans="1:8" hidden="1">
      <c r="A125" s="64">
        <v>1328</v>
      </c>
      <c r="B125" s="4" t="s">
        <v>167</v>
      </c>
      <c r="C125" s="4" t="s">
        <v>401</v>
      </c>
      <c r="D125" s="4" t="s">
        <v>402</v>
      </c>
      <c r="E125" s="64">
        <v>-21</v>
      </c>
      <c r="F125" s="64">
        <v>9</v>
      </c>
      <c r="G125">
        <f t="shared" si="2"/>
        <v>-0.47207512358820353</v>
      </c>
      <c r="H125">
        <f t="shared" si="3"/>
        <v>-0.4739082105193565</v>
      </c>
    </row>
    <row r="126" spans="1:8" hidden="1">
      <c r="A126" s="64">
        <v>1483</v>
      </c>
      <c r="B126" s="4" t="s">
        <v>365</v>
      </c>
      <c r="C126" s="4" t="s">
        <v>403</v>
      </c>
      <c r="D126" s="4" t="s">
        <v>404</v>
      </c>
      <c r="E126" s="64">
        <v>47</v>
      </c>
      <c r="F126" s="64">
        <v>7</v>
      </c>
      <c r="G126">
        <f t="shared" si="2"/>
        <v>0.76646863229514939</v>
      </c>
      <c r="H126">
        <f t="shared" si="3"/>
        <v>-0.83786091975811994</v>
      </c>
    </row>
    <row r="127" spans="1:8" hidden="1">
      <c r="A127" s="64">
        <v>1494</v>
      </c>
      <c r="B127" s="4" t="s">
        <v>269</v>
      </c>
      <c r="C127" s="4" t="s">
        <v>218</v>
      </c>
      <c r="D127" s="4" t="s">
        <v>218</v>
      </c>
      <c r="E127" s="64">
        <v>0</v>
      </c>
      <c r="F127" s="64">
        <v>10</v>
      </c>
      <c r="G127">
        <f t="shared" si="2"/>
        <v>-8.9583669565403354E-2</v>
      </c>
      <c r="H127">
        <f t="shared" si="3"/>
        <v>-0.29193185589997478</v>
      </c>
    </row>
    <row r="128" spans="1:8" hidden="1">
      <c r="A128" s="64">
        <v>1500</v>
      </c>
      <c r="B128" s="4" t="s">
        <v>294</v>
      </c>
      <c r="C128" s="4" t="s">
        <v>405</v>
      </c>
      <c r="D128" s="4" t="s">
        <v>406</v>
      </c>
      <c r="E128" s="64">
        <v>-1</v>
      </c>
      <c r="F128" s="64">
        <v>9</v>
      </c>
      <c r="G128">
        <f t="shared" si="2"/>
        <v>-0.10779754832839383</v>
      </c>
      <c r="H128">
        <f t="shared" si="3"/>
        <v>-0.4739082105193565</v>
      </c>
    </row>
    <row r="129" spans="1:8" hidden="1">
      <c r="A129" s="64">
        <v>1502</v>
      </c>
      <c r="B129" s="4" t="s">
        <v>269</v>
      </c>
      <c r="C129" s="4" t="s">
        <v>407</v>
      </c>
      <c r="D129" s="4" t="s">
        <v>408</v>
      </c>
      <c r="E129" s="64">
        <v>-5</v>
      </c>
      <c r="F129" s="64">
        <v>9</v>
      </c>
      <c r="G129">
        <f t="shared" si="2"/>
        <v>-0.18065306338035578</v>
      </c>
      <c r="H129">
        <f t="shared" si="3"/>
        <v>-0.4739082105193565</v>
      </c>
    </row>
    <row r="130" spans="1:8" hidden="1">
      <c r="A130" s="64">
        <v>1510</v>
      </c>
      <c r="B130" s="4" t="s">
        <v>409</v>
      </c>
      <c r="C130" s="4" t="s">
        <v>410</v>
      </c>
      <c r="D130" s="4" t="s">
        <v>411</v>
      </c>
      <c r="E130" s="64">
        <v>1</v>
      </c>
      <c r="F130" s="64">
        <v>7</v>
      </c>
      <c r="G130">
        <f t="shared" si="2"/>
        <v>-7.1369790802412875E-2</v>
      </c>
      <c r="H130">
        <f t="shared" si="3"/>
        <v>-0.83786091975811994</v>
      </c>
    </row>
    <row r="131" spans="1:8" hidden="1">
      <c r="A131" s="64">
        <v>1512</v>
      </c>
      <c r="B131" s="4" t="s">
        <v>197</v>
      </c>
      <c r="C131" s="4" t="s">
        <v>287</v>
      </c>
      <c r="D131" s="4" t="s">
        <v>412</v>
      </c>
      <c r="E131" s="64">
        <v>5</v>
      </c>
      <c r="F131" s="64">
        <v>16</v>
      </c>
      <c r="G131">
        <f t="shared" si="2"/>
        <v>1.4857242495490664E-3</v>
      </c>
      <c r="H131">
        <f t="shared" si="3"/>
        <v>0.79992627181631548</v>
      </c>
    </row>
    <row r="132" spans="1:8" hidden="1">
      <c r="A132" s="64">
        <v>1513</v>
      </c>
      <c r="B132" s="4" t="s">
        <v>286</v>
      </c>
      <c r="C132" s="4" t="s">
        <v>413</v>
      </c>
      <c r="D132" s="4" t="s">
        <v>414</v>
      </c>
      <c r="E132" s="64">
        <v>-19</v>
      </c>
      <c r="F132" s="64">
        <v>8</v>
      </c>
      <c r="G132">
        <f t="shared" si="2"/>
        <v>-0.43564736606222254</v>
      </c>
      <c r="H132">
        <f t="shared" si="3"/>
        <v>-0.65588456513873816</v>
      </c>
    </row>
    <row r="133" spans="1:8" hidden="1">
      <c r="A133" s="64">
        <v>1516</v>
      </c>
      <c r="B133" s="4" t="s">
        <v>415</v>
      </c>
      <c r="C133" s="4" t="s">
        <v>416</v>
      </c>
      <c r="D133" s="4" t="s">
        <v>417</v>
      </c>
      <c r="E133" s="64">
        <v>14</v>
      </c>
      <c r="F133" s="64">
        <v>16</v>
      </c>
      <c r="G133">
        <f t="shared" si="2"/>
        <v>0.1654106331164634</v>
      </c>
      <c r="H133">
        <f t="shared" si="3"/>
        <v>0.79992627181631548</v>
      </c>
    </row>
    <row r="134" spans="1:8" hidden="1">
      <c r="A134" s="64">
        <v>1517</v>
      </c>
      <c r="B134" s="4" t="s">
        <v>294</v>
      </c>
      <c r="C134" s="4" t="s">
        <v>418</v>
      </c>
      <c r="D134" s="4" t="s">
        <v>419</v>
      </c>
      <c r="E134" s="64">
        <v>-9</v>
      </c>
      <c r="F134" s="64">
        <v>7</v>
      </c>
      <c r="G134">
        <f t="shared" si="2"/>
        <v>-0.25350857843231772</v>
      </c>
      <c r="H134">
        <f t="shared" si="3"/>
        <v>-0.83786091975811994</v>
      </c>
    </row>
    <row r="135" spans="1:8" hidden="1">
      <c r="A135" s="64">
        <v>1518</v>
      </c>
      <c r="B135" s="4" t="s">
        <v>241</v>
      </c>
      <c r="C135" s="4" t="s">
        <v>420</v>
      </c>
      <c r="D135" s="4" t="s">
        <v>421</v>
      </c>
      <c r="E135" s="64">
        <v>-8</v>
      </c>
      <c r="F135" s="64">
        <v>8</v>
      </c>
      <c r="G135">
        <f t="shared" si="2"/>
        <v>-0.23529469966932723</v>
      </c>
      <c r="H135">
        <f t="shared" si="3"/>
        <v>-0.65588456513873816</v>
      </c>
    </row>
    <row r="136" spans="1:8" hidden="1">
      <c r="A136" s="64">
        <v>1520</v>
      </c>
      <c r="B136" s="4" t="s">
        <v>294</v>
      </c>
      <c r="C136" s="4" t="s">
        <v>322</v>
      </c>
      <c r="D136" s="4" t="s">
        <v>422</v>
      </c>
      <c r="E136" s="64">
        <v>-3</v>
      </c>
      <c r="F136" s="64">
        <v>8</v>
      </c>
      <c r="G136">
        <f t="shared" ref="G136:G199" si="4">STANDARDIZE(E136,$C$341,$C$342)</f>
        <v>-0.14422530585437479</v>
      </c>
      <c r="H136">
        <f t="shared" ref="H136:H199" si="5">STANDARDIZE(F136,$D$341,$D$342)</f>
        <v>-0.65588456513873816</v>
      </c>
    </row>
    <row r="137" spans="1:8" hidden="1">
      <c r="A137" s="64">
        <v>1521</v>
      </c>
      <c r="B137" s="4" t="s">
        <v>258</v>
      </c>
      <c r="C137" s="4" t="s">
        <v>423</v>
      </c>
      <c r="D137" s="4" t="s">
        <v>424</v>
      </c>
      <c r="E137" s="64">
        <v>3</v>
      </c>
      <c r="F137" s="64">
        <v>14</v>
      </c>
      <c r="G137">
        <f t="shared" si="4"/>
        <v>-3.4942033276431902E-2</v>
      </c>
      <c r="H137">
        <f t="shared" si="5"/>
        <v>0.43597356257755204</v>
      </c>
    </row>
    <row r="138" spans="1:8" hidden="1">
      <c r="A138" s="64">
        <v>1528</v>
      </c>
      <c r="B138" s="4" t="s">
        <v>341</v>
      </c>
      <c r="C138" s="4" t="s">
        <v>425</v>
      </c>
      <c r="D138" s="4" t="s">
        <v>426</v>
      </c>
      <c r="E138" s="64">
        <v>-12</v>
      </c>
      <c r="F138" s="64">
        <v>12</v>
      </c>
      <c r="G138">
        <f t="shared" si="4"/>
        <v>-0.30815021472128917</v>
      </c>
      <c r="H138">
        <f t="shared" si="5"/>
        <v>7.2020853338788646E-2</v>
      </c>
    </row>
    <row r="139" spans="1:8" hidden="1">
      <c r="A139" s="64">
        <v>1531</v>
      </c>
      <c r="B139" s="4" t="s">
        <v>294</v>
      </c>
      <c r="C139" s="4" t="s">
        <v>427</v>
      </c>
      <c r="D139" s="4" t="s">
        <v>428</v>
      </c>
      <c r="E139" s="64">
        <v>-18</v>
      </c>
      <c r="F139" s="64">
        <v>11</v>
      </c>
      <c r="G139">
        <f t="shared" si="4"/>
        <v>-0.41743348729923208</v>
      </c>
      <c r="H139">
        <f t="shared" si="5"/>
        <v>-0.10995550128059307</v>
      </c>
    </row>
    <row r="140" spans="1:8" hidden="1">
      <c r="A140" s="64">
        <v>1536</v>
      </c>
      <c r="B140" s="4" t="s">
        <v>429</v>
      </c>
      <c r="C140" s="4" t="s">
        <v>430</v>
      </c>
      <c r="D140" s="4" t="s">
        <v>431</v>
      </c>
      <c r="E140" s="64">
        <v>23</v>
      </c>
      <c r="F140" s="64">
        <v>45</v>
      </c>
      <c r="G140">
        <f t="shared" si="4"/>
        <v>0.32933554198337778</v>
      </c>
      <c r="H140">
        <f t="shared" si="5"/>
        <v>6.0772405557783848</v>
      </c>
    </row>
    <row r="141" spans="1:8" hidden="1">
      <c r="A141" s="64">
        <v>1538</v>
      </c>
      <c r="B141" s="4" t="s">
        <v>432</v>
      </c>
      <c r="C141" s="4" t="s">
        <v>421</v>
      </c>
      <c r="D141" s="4" t="s">
        <v>433</v>
      </c>
      <c r="E141" s="64">
        <v>18</v>
      </c>
      <c r="F141" s="64">
        <v>9</v>
      </c>
      <c r="G141">
        <f t="shared" si="4"/>
        <v>0.23826614816842534</v>
      </c>
      <c r="H141">
        <f t="shared" si="5"/>
        <v>-0.4739082105193565</v>
      </c>
    </row>
    <row r="142" spans="1:8" hidden="1">
      <c r="A142" s="64">
        <v>1542</v>
      </c>
      <c r="B142" s="4" t="s">
        <v>197</v>
      </c>
      <c r="C142" s="4" t="s">
        <v>434</v>
      </c>
      <c r="D142" s="4" t="s">
        <v>173</v>
      </c>
      <c r="E142" s="64">
        <v>13</v>
      </c>
      <c r="F142" s="64">
        <v>18</v>
      </c>
      <c r="G142">
        <f t="shared" si="4"/>
        <v>0.14719675435347293</v>
      </c>
      <c r="H142">
        <f t="shared" si="5"/>
        <v>1.1638789810550789</v>
      </c>
    </row>
    <row r="143" spans="1:8" hidden="1">
      <c r="A143" s="64">
        <v>1553</v>
      </c>
      <c r="B143" s="4" t="s">
        <v>435</v>
      </c>
      <c r="C143" s="4" t="s">
        <v>436</v>
      </c>
      <c r="D143" s="4" t="s">
        <v>437</v>
      </c>
      <c r="E143" s="64">
        <v>-17</v>
      </c>
      <c r="F143" s="64">
        <v>10</v>
      </c>
      <c r="G143">
        <f t="shared" si="4"/>
        <v>-0.39921960853624161</v>
      </c>
      <c r="H143">
        <f t="shared" si="5"/>
        <v>-0.29193185589997478</v>
      </c>
    </row>
    <row r="144" spans="1:8" hidden="1">
      <c r="A144" s="64">
        <v>1554</v>
      </c>
      <c r="B144" s="4" t="s">
        <v>438</v>
      </c>
      <c r="C144" s="4" t="s">
        <v>388</v>
      </c>
      <c r="D144" s="4" t="s">
        <v>439</v>
      </c>
      <c r="E144" s="64">
        <v>19</v>
      </c>
      <c r="F144" s="64">
        <v>30</v>
      </c>
      <c r="G144">
        <f t="shared" si="4"/>
        <v>0.25648002693141581</v>
      </c>
      <c r="H144">
        <f t="shared" si="5"/>
        <v>3.3475952364876593</v>
      </c>
    </row>
    <row r="145" spans="1:8" hidden="1">
      <c r="A145" s="64">
        <v>1555</v>
      </c>
      <c r="B145" s="4" t="s">
        <v>345</v>
      </c>
      <c r="C145" s="4" t="s">
        <v>440</v>
      </c>
      <c r="D145" s="4" t="s">
        <v>441</v>
      </c>
      <c r="E145" s="64">
        <v>-15</v>
      </c>
      <c r="F145" s="64">
        <v>9</v>
      </c>
      <c r="G145">
        <f t="shared" si="4"/>
        <v>-0.36279185101026062</v>
      </c>
      <c r="H145">
        <f t="shared" si="5"/>
        <v>-0.4739082105193565</v>
      </c>
    </row>
    <row r="146" spans="1:8" hidden="1">
      <c r="A146" s="64">
        <v>1559</v>
      </c>
      <c r="B146" s="4" t="s">
        <v>324</v>
      </c>
      <c r="C146" s="4" t="s">
        <v>442</v>
      </c>
      <c r="D146" s="4" t="s">
        <v>443</v>
      </c>
      <c r="E146" s="64">
        <v>-19</v>
      </c>
      <c r="F146" s="64">
        <v>15</v>
      </c>
      <c r="G146">
        <f t="shared" si="4"/>
        <v>-0.43564736606222254</v>
      </c>
      <c r="H146">
        <f t="shared" si="5"/>
        <v>0.61794991719693382</v>
      </c>
    </row>
    <row r="147" spans="1:8" hidden="1">
      <c r="A147" s="64">
        <v>1561</v>
      </c>
      <c r="B147" s="4" t="s">
        <v>294</v>
      </c>
      <c r="C147" s="4" t="s">
        <v>444</v>
      </c>
      <c r="D147" s="4" t="s">
        <v>445</v>
      </c>
      <c r="E147" s="64">
        <v>-12</v>
      </c>
      <c r="F147" s="64">
        <v>9</v>
      </c>
      <c r="G147">
        <f t="shared" si="4"/>
        <v>-0.30815021472128917</v>
      </c>
      <c r="H147">
        <f t="shared" si="5"/>
        <v>-0.4739082105193565</v>
      </c>
    </row>
    <row r="148" spans="1:8" hidden="1">
      <c r="A148" s="64">
        <v>1563</v>
      </c>
      <c r="B148" s="4" t="s">
        <v>214</v>
      </c>
      <c r="C148" s="4" t="s">
        <v>446</v>
      </c>
      <c r="D148" s="4" t="s">
        <v>447</v>
      </c>
      <c r="E148" s="64">
        <v>62</v>
      </c>
      <c r="F148" s="64">
        <v>10</v>
      </c>
      <c r="G148">
        <f t="shared" si="4"/>
        <v>1.0396768137400068</v>
      </c>
      <c r="H148">
        <f t="shared" si="5"/>
        <v>-0.29193185589997478</v>
      </c>
    </row>
    <row r="149" spans="1:8" hidden="1">
      <c r="A149" s="64">
        <v>1564</v>
      </c>
      <c r="B149" s="4" t="s">
        <v>448</v>
      </c>
      <c r="C149" s="4" t="s">
        <v>449</v>
      </c>
      <c r="D149" s="4" t="s">
        <v>370</v>
      </c>
      <c r="E149" s="64">
        <v>3</v>
      </c>
      <c r="F149" s="64">
        <v>18</v>
      </c>
      <c r="G149">
        <f t="shared" si="4"/>
        <v>-3.4942033276431902E-2</v>
      </c>
      <c r="H149">
        <f t="shared" si="5"/>
        <v>1.1638789810550789</v>
      </c>
    </row>
    <row r="150" spans="1:8" hidden="1">
      <c r="A150" s="64">
        <v>1565</v>
      </c>
      <c r="B150" s="4" t="s">
        <v>214</v>
      </c>
      <c r="C150" s="4" t="s">
        <v>450</v>
      </c>
      <c r="D150" s="4" t="s">
        <v>451</v>
      </c>
      <c r="E150" s="64">
        <v>11</v>
      </c>
      <c r="F150" s="64">
        <v>10</v>
      </c>
      <c r="G150">
        <f t="shared" si="4"/>
        <v>0.11076899682749197</v>
      </c>
      <c r="H150">
        <f t="shared" si="5"/>
        <v>-0.29193185589997478</v>
      </c>
    </row>
    <row r="151" spans="1:8" hidden="1">
      <c r="A151" s="64">
        <v>1577</v>
      </c>
      <c r="B151" s="4" t="s">
        <v>371</v>
      </c>
      <c r="C151" s="4" t="s">
        <v>403</v>
      </c>
      <c r="D151" s="4" t="s">
        <v>452</v>
      </c>
      <c r="E151" s="64">
        <v>-16</v>
      </c>
      <c r="F151" s="64">
        <v>8</v>
      </c>
      <c r="G151">
        <f t="shared" si="4"/>
        <v>-0.38100572977325109</v>
      </c>
      <c r="H151">
        <f t="shared" si="5"/>
        <v>-0.65588456513873816</v>
      </c>
    </row>
    <row r="152" spans="1:8" hidden="1">
      <c r="A152" s="64">
        <v>1586</v>
      </c>
      <c r="B152" s="4" t="s">
        <v>197</v>
      </c>
      <c r="C152" s="4" t="s">
        <v>453</v>
      </c>
      <c r="D152" s="4" t="s">
        <v>454</v>
      </c>
      <c r="E152" s="64">
        <v>13</v>
      </c>
      <c r="F152" s="64">
        <v>13</v>
      </c>
      <c r="G152">
        <f t="shared" si="4"/>
        <v>0.14719675435347293</v>
      </c>
      <c r="H152">
        <f t="shared" si="5"/>
        <v>0.25399720795817032</v>
      </c>
    </row>
    <row r="153" spans="1:8" hidden="1">
      <c r="A153" s="64">
        <v>1588</v>
      </c>
      <c r="B153" s="4" t="s">
        <v>341</v>
      </c>
      <c r="C153" s="4" t="s">
        <v>229</v>
      </c>
      <c r="D153" s="4" t="s">
        <v>455</v>
      </c>
      <c r="E153" s="64">
        <v>3</v>
      </c>
      <c r="F153" s="64">
        <v>19</v>
      </c>
      <c r="G153">
        <f t="shared" si="4"/>
        <v>-3.4942033276431902E-2</v>
      </c>
      <c r="H153">
        <f t="shared" si="5"/>
        <v>1.3458553356744607</v>
      </c>
    </row>
    <row r="154" spans="1:8" hidden="1">
      <c r="A154" s="64">
        <v>1591</v>
      </c>
      <c r="B154" s="4" t="s">
        <v>211</v>
      </c>
      <c r="C154" s="4" t="s">
        <v>456</v>
      </c>
      <c r="D154" s="4" t="s">
        <v>457</v>
      </c>
      <c r="E154" s="64">
        <v>-11</v>
      </c>
      <c r="F154" s="64">
        <v>7</v>
      </c>
      <c r="G154">
        <f t="shared" si="4"/>
        <v>-0.28993633595829871</v>
      </c>
      <c r="H154">
        <f t="shared" si="5"/>
        <v>-0.83786091975811994</v>
      </c>
    </row>
    <row r="155" spans="1:8" hidden="1">
      <c r="A155" s="64">
        <v>1598</v>
      </c>
      <c r="B155" s="4" t="s">
        <v>241</v>
      </c>
      <c r="C155" s="4" t="s">
        <v>458</v>
      </c>
      <c r="D155" s="4" t="s">
        <v>405</v>
      </c>
      <c r="E155" s="64">
        <v>-8</v>
      </c>
      <c r="F155" s="64">
        <v>10</v>
      </c>
      <c r="G155">
        <f t="shared" si="4"/>
        <v>-0.23529469966932723</v>
      </c>
      <c r="H155">
        <f t="shared" si="5"/>
        <v>-0.29193185589997478</v>
      </c>
    </row>
    <row r="156" spans="1:8" hidden="1">
      <c r="A156" s="64">
        <v>1599</v>
      </c>
      <c r="B156" s="4" t="s">
        <v>208</v>
      </c>
      <c r="C156" s="4" t="s">
        <v>459</v>
      </c>
      <c r="D156" s="4" t="s">
        <v>460</v>
      </c>
      <c r="E156" s="64">
        <v>-7</v>
      </c>
      <c r="F156" s="64">
        <v>24</v>
      </c>
      <c r="G156">
        <f t="shared" si="4"/>
        <v>-0.21708082090633676</v>
      </c>
      <c r="H156">
        <f t="shared" si="5"/>
        <v>2.2557371087713691</v>
      </c>
    </row>
    <row r="157" spans="1:8" hidden="1">
      <c r="A157" s="64">
        <v>1601</v>
      </c>
      <c r="B157" s="4" t="s">
        <v>324</v>
      </c>
      <c r="C157" s="4" t="s">
        <v>248</v>
      </c>
      <c r="D157" s="4" t="s">
        <v>367</v>
      </c>
      <c r="E157" s="64">
        <v>-26</v>
      </c>
      <c r="F157" s="64">
        <v>10</v>
      </c>
      <c r="G157">
        <f t="shared" si="4"/>
        <v>-0.56314451740315596</v>
      </c>
      <c r="H157">
        <f t="shared" si="5"/>
        <v>-0.29193185589997478</v>
      </c>
    </row>
    <row r="158" spans="1:8" hidden="1">
      <c r="A158" s="64">
        <v>1604</v>
      </c>
      <c r="B158" s="4" t="s">
        <v>461</v>
      </c>
      <c r="C158" s="4" t="s">
        <v>462</v>
      </c>
      <c r="D158" s="4" t="s">
        <v>463</v>
      </c>
      <c r="E158" s="64">
        <v>3</v>
      </c>
      <c r="F158" s="64">
        <v>14</v>
      </c>
      <c r="G158">
        <f t="shared" si="4"/>
        <v>-3.4942033276431902E-2</v>
      </c>
      <c r="H158">
        <f t="shared" si="5"/>
        <v>0.43597356257755204</v>
      </c>
    </row>
    <row r="159" spans="1:8" hidden="1">
      <c r="A159" s="64">
        <v>1605</v>
      </c>
      <c r="B159" s="4" t="s">
        <v>255</v>
      </c>
      <c r="C159" s="4" t="s">
        <v>464</v>
      </c>
      <c r="D159" s="4" t="s">
        <v>465</v>
      </c>
      <c r="E159" s="64">
        <v>1</v>
      </c>
      <c r="F159" s="64">
        <v>29</v>
      </c>
      <c r="G159">
        <f t="shared" si="4"/>
        <v>-7.1369790802412875E-2</v>
      </c>
      <c r="H159">
        <f t="shared" si="5"/>
        <v>3.1656188818682778</v>
      </c>
    </row>
    <row r="160" spans="1:8" hidden="1">
      <c r="A160" s="64">
        <v>1606</v>
      </c>
      <c r="B160" s="4" t="s">
        <v>161</v>
      </c>
      <c r="C160" s="4" t="s">
        <v>466</v>
      </c>
      <c r="D160" s="4" t="s">
        <v>467</v>
      </c>
      <c r="E160" s="64">
        <v>2</v>
      </c>
      <c r="F160" s="64">
        <v>14</v>
      </c>
      <c r="G160">
        <f t="shared" si="4"/>
        <v>-5.3155912039422382E-2</v>
      </c>
      <c r="H160">
        <f t="shared" si="5"/>
        <v>0.43597356257755204</v>
      </c>
    </row>
    <row r="161" spans="1:8" hidden="1">
      <c r="A161" s="64">
        <v>1610</v>
      </c>
      <c r="B161" s="4" t="s">
        <v>371</v>
      </c>
      <c r="C161" s="4" t="s">
        <v>468</v>
      </c>
      <c r="D161" s="4" t="s">
        <v>256</v>
      </c>
      <c r="E161" s="64">
        <v>8</v>
      </c>
      <c r="F161" s="64">
        <v>28</v>
      </c>
      <c r="G161">
        <f t="shared" si="4"/>
        <v>5.6127360538520514E-2</v>
      </c>
      <c r="H161">
        <f t="shared" si="5"/>
        <v>2.9836425272488958</v>
      </c>
    </row>
    <row r="162" spans="1:8" hidden="1">
      <c r="A162" s="64">
        <v>1612</v>
      </c>
      <c r="B162" s="4" t="s">
        <v>338</v>
      </c>
      <c r="C162" s="4" t="s">
        <v>413</v>
      </c>
      <c r="D162" s="4" t="s">
        <v>469</v>
      </c>
      <c r="E162" s="64">
        <v>-10</v>
      </c>
      <c r="F162" s="64">
        <v>8</v>
      </c>
      <c r="G162">
        <f t="shared" si="4"/>
        <v>-0.27172245719530819</v>
      </c>
      <c r="H162">
        <f t="shared" si="5"/>
        <v>-0.65588456513873816</v>
      </c>
    </row>
    <row r="163" spans="1:8" hidden="1">
      <c r="A163" s="64">
        <v>1615</v>
      </c>
      <c r="B163" s="4" t="s">
        <v>211</v>
      </c>
      <c r="C163" s="4" t="s">
        <v>470</v>
      </c>
      <c r="D163" s="4" t="s">
        <v>471</v>
      </c>
      <c r="E163" s="64">
        <v>3</v>
      </c>
      <c r="F163" s="64">
        <v>13</v>
      </c>
      <c r="G163">
        <f t="shared" si="4"/>
        <v>-3.4942033276431902E-2</v>
      </c>
      <c r="H163">
        <f t="shared" si="5"/>
        <v>0.25399720795817032</v>
      </c>
    </row>
    <row r="164" spans="1:8" hidden="1">
      <c r="A164" s="64">
        <v>1617</v>
      </c>
      <c r="B164" s="4" t="s">
        <v>409</v>
      </c>
      <c r="C164" s="4" t="s">
        <v>472</v>
      </c>
      <c r="D164" s="4" t="s">
        <v>373</v>
      </c>
      <c r="E164" s="64">
        <v>27</v>
      </c>
      <c r="F164" s="64">
        <v>13</v>
      </c>
      <c r="G164">
        <f t="shared" si="4"/>
        <v>0.40219105703533969</v>
      </c>
      <c r="H164">
        <f t="shared" si="5"/>
        <v>0.25399720795817032</v>
      </c>
    </row>
    <row r="165" spans="1:8" hidden="1">
      <c r="A165" s="64">
        <v>1618</v>
      </c>
      <c r="B165" s="4" t="s">
        <v>236</v>
      </c>
      <c r="C165" s="4" t="s">
        <v>473</v>
      </c>
      <c r="D165" s="4" t="s">
        <v>474</v>
      </c>
      <c r="E165" s="64">
        <v>-12</v>
      </c>
      <c r="F165" s="64">
        <v>9</v>
      </c>
      <c r="G165">
        <f t="shared" si="4"/>
        <v>-0.30815021472128917</v>
      </c>
      <c r="H165">
        <f t="shared" si="5"/>
        <v>-0.4739082105193565</v>
      </c>
    </row>
    <row r="166" spans="1:8" hidden="1">
      <c r="A166" s="64">
        <v>1620</v>
      </c>
      <c r="B166" s="4" t="s">
        <v>214</v>
      </c>
      <c r="C166" s="4" t="s">
        <v>475</v>
      </c>
      <c r="D166" s="4" t="s">
        <v>476</v>
      </c>
      <c r="E166" s="64">
        <v>13</v>
      </c>
      <c r="F166" s="64">
        <v>10</v>
      </c>
      <c r="G166">
        <f t="shared" si="4"/>
        <v>0.14719675435347293</v>
      </c>
      <c r="H166">
        <f t="shared" si="5"/>
        <v>-0.29193185589997478</v>
      </c>
    </row>
    <row r="167" spans="1:8" hidden="1">
      <c r="A167" s="64">
        <v>1623</v>
      </c>
      <c r="B167" s="4" t="s">
        <v>236</v>
      </c>
      <c r="C167" s="4" t="s">
        <v>235</v>
      </c>
      <c r="D167" s="4" t="s">
        <v>477</v>
      </c>
      <c r="E167" s="64">
        <v>-13</v>
      </c>
      <c r="F167" s="64">
        <v>11</v>
      </c>
      <c r="G167">
        <f t="shared" si="4"/>
        <v>-0.32636409348427964</v>
      </c>
      <c r="H167">
        <f t="shared" si="5"/>
        <v>-0.10995550128059307</v>
      </c>
    </row>
    <row r="168" spans="1:8" hidden="1">
      <c r="A168" s="64">
        <v>1627</v>
      </c>
      <c r="B168" s="4" t="s">
        <v>214</v>
      </c>
      <c r="C168" s="4" t="s">
        <v>478</v>
      </c>
      <c r="D168" s="4" t="s">
        <v>479</v>
      </c>
      <c r="E168" s="64">
        <v>16</v>
      </c>
      <c r="F168" s="64">
        <v>14</v>
      </c>
      <c r="G168">
        <f t="shared" si="4"/>
        <v>0.20183839064244438</v>
      </c>
      <c r="H168">
        <f t="shared" si="5"/>
        <v>0.43597356257755204</v>
      </c>
    </row>
    <row r="169" spans="1:8" hidden="1">
      <c r="A169" s="64">
        <v>1628</v>
      </c>
      <c r="B169" s="4" t="s">
        <v>371</v>
      </c>
      <c r="C169" s="4" t="s">
        <v>480</v>
      </c>
      <c r="D169" s="4" t="s">
        <v>481</v>
      </c>
      <c r="E169" s="64">
        <v>40</v>
      </c>
      <c r="F169" s="64">
        <v>14</v>
      </c>
      <c r="G169">
        <f t="shared" si="4"/>
        <v>0.63897148095421608</v>
      </c>
      <c r="H169">
        <f t="shared" si="5"/>
        <v>0.43597356257755204</v>
      </c>
    </row>
    <row r="170" spans="1:8" hidden="1">
      <c r="A170" s="64">
        <v>1629</v>
      </c>
      <c r="B170" s="4" t="s">
        <v>211</v>
      </c>
      <c r="C170" s="4" t="s">
        <v>482</v>
      </c>
      <c r="D170" s="4" t="s">
        <v>482</v>
      </c>
      <c r="E170" s="64">
        <v>0</v>
      </c>
      <c r="F170" s="64">
        <v>15</v>
      </c>
      <c r="G170">
        <f t="shared" si="4"/>
        <v>-8.9583669565403354E-2</v>
      </c>
      <c r="H170">
        <f t="shared" si="5"/>
        <v>0.61794991719693382</v>
      </c>
    </row>
    <row r="171" spans="1:8" hidden="1">
      <c r="A171" s="64">
        <v>1632</v>
      </c>
      <c r="B171" s="4" t="s">
        <v>307</v>
      </c>
      <c r="C171" s="4" t="s">
        <v>483</v>
      </c>
      <c r="D171" s="4" t="s">
        <v>484</v>
      </c>
      <c r="E171" s="64">
        <v>-17</v>
      </c>
      <c r="F171" s="64">
        <v>12</v>
      </c>
      <c r="G171">
        <f t="shared" si="4"/>
        <v>-0.39921960853624161</v>
      </c>
      <c r="H171">
        <f t="shared" si="5"/>
        <v>7.2020853338788646E-2</v>
      </c>
    </row>
    <row r="172" spans="1:8" hidden="1">
      <c r="A172" s="64">
        <v>1633</v>
      </c>
      <c r="B172" s="4" t="s">
        <v>161</v>
      </c>
      <c r="C172" s="4" t="s">
        <v>485</v>
      </c>
      <c r="D172" s="4" t="s">
        <v>486</v>
      </c>
      <c r="E172" s="64">
        <v>-15</v>
      </c>
      <c r="F172" s="64">
        <v>7</v>
      </c>
      <c r="G172">
        <f t="shared" si="4"/>
        <v>-0.36279185101026062</v>
      </c>
      <c r="H172">
        <f t="shared" si="5"/>
        <v>-0.83786091975811994</v>
      </c>
    </row>
    <row r="173" spans="1:8" hidden="1">
      <c r="A173" s="64">
        <v>1634</v>
      </c>
      <c r="B173" s="4" t="s">
        <v>487</v>
      </c>
      <c r="C173" s="4" t="s">
        <v>488</v>
      </c>
      <c r="D173" s="4" t="s">
        <v>340</v>
      </c>
      <c r="E173" s="64">
        <v>-11</v>
      </c>
      <c r="F173" s="64">
        <v>11</v>
      </c>
      <c r="G173">
        <f t="shared" si="4"/>
        <v>-0.28993633595829871</v>
      </c>
      <c r="H173">
        <f t="shared" si="5"/>
        <v>-0.10995550128059307</v>
      </c>
    </row>
    <row r="174" spans="1:8" hidden="1">
      <c r="A174" s="64">
        <v>1636</v>
      </c>
      <c r="B174" s="4" t="s">
        <v>409</v>
      </c>
      <c r="C174" s="4" t="s">
        <v>489</v>
      </c>
      <c r="D174" s="4" t="s">
        <v>477</v>
      </c>
      <c r="E174" s="64">
        <v>-8</v>
      </c>
      <c r="F174" s="64">
        <v>9</v>
      </c>
      <c r="G174">
        <f t="shared" si="4"/>
        <v>-0.23529469966932723</v>
      </c>
      <c r="H174">
        <f t="shared" si="5"/>
        <v>-0.4739082105193565</v>
      </c>
    </row>
    <row r="175" spans="1:8" hidden="1">
      <c r="A175" s="64">
        <v>1637</v>
      </c>
      <c r="B175" s="4" t="s">
        <v>208</v>
      </c>
      <c r="C175" s="4" t="s">
        <v>168</v>
      </c>
      <c r="D175" s="4" t="s">
        <v>490</v>
      </c>
      <c r="E175" s="64">
        <v>-8</v>
      </c>
      <c r="F175" s="64">
        <v>11</v>
      </c>
      <c r="G175">
        <f t="shared" si="4"/>
        <v>-0.23529469966932723</v>
      </c>
      <c r="H175">
        <f t="shared" si="5"/>
        <v>-0.10995550128059307</v>
      </c>
    </row>
    <row r="176" spans="1:8" hidden="1">
      <c r="A176" s="64">
        <v>1638</v>
      </c>
      <c r="B176" s="4" t="s">
        <v>341</v>
      </c>
      <c r="C176" s="4" t="s">
        <v>248</v>
      </c>
      <c r="D176" s="4" t="s">
        <v>491</v>
      </c>
      <c r="E176" s="64">
        <v>8</v>
      </c>
      <c r="F176" s="64">
        <v>9</v>
      </c>
      <c r="G176">
        <f t="shared" si="4"/>
        <v>5.6127360538520514E-2</v>
      </c>
      <c r="H176">
        <f t="shared" si="5"/>
        <v>-0.4739082105193565</v>
      </c>
    </row>
    <row r="177" spans="1:8" hidden="1">
      <c r="A177" s="64">
        <v>1640</v>
      </c>
      <c r="B177" s="4" t="s">
        <v>492</v>
      </c>
      <c r="C177" s="4" t="s">
        <v>493</v>
      </c>
      <c r="D177" s="4" t="s">
        <v>439</v>
      </c>
      <c r="E177" s="64">
        <v>7</v>
      </c>
      <c r="F177" s="64">
        <v>15</v>
      </c>
      <c r="G177">
        <f t="shared" si="4"/>
        <v>3.7913481775530035E-2</v>
      </c>
      <c r="H177">
        <f t="shared" si="5"/>
        <v>0.61794991719693382</v>
      </c>
    </row>
    <row r="178" spans="1:8" hidden="1">
      <c r="A178" s="64">
        <v>1641</v>
      </c>
      <c r="B178" s="4" t="s">
        <v>172</v>
      </c>
      <c r="C178" s="4" t="s">
        <v>494</v>
      </c>
      <c r="D178" s="4" t="s">
        <v>495</v>
      </c>
      <c r="E178" s="64">
        <v>-18</v>
      </c>
      <c r="F178" s="64">
        <v>9</v>
      </c>
      <c r="G178">
        <f t="shared" si="4"/>
        <v>-0.41743348729923208</v>
      </c>
      <c r="H178">
        <f t="shared" si="5"/>
        <v>-0.4739082105193565</v>
      </c>
    </row>
    <row r="179" spans="1:8" hidden="1">
      <c r="A179" s="64">
        <v>1649</v>
      </c>
      <c r="B179" s="4" t="s">
        <v>496</v>
      </c>
      <c r="C179" s="4" t="s">
        <v>497</v>
      </c>
      <c r="D179" s="4" t="s">
        <v>498</v>
      </c>
      <c r="E179" s="64">
        <v>6</v>
      </c>
      <c r="F179" s="64">
        <v>14</v>
      </c>
      <c r="G179">
        <f t="shared" si="4"/>
        <v>1.9699603012539549E-2</v>
      </c>
      <c r="H179">
        <f t="shared" si="5"/>
        <v>0.43597356257755204</v>
      </c>
    </row>
    <row r="180" spans="1:8" hidden="1">
      <c r="A180" s="64">
        <v>1652</v>
      </c>
      <c r="B180" s="4" t="s">
        <v>499</v>
      </c>
      <c r="C180" s="4" t="s">
        <v>500</v>
      </c>
      <c r="D180" s="4" t="s">
        <v>475</v>
      </c>
      <c r="E180" s="64">
        <v>16</v>
      </c>
      <c r="F180" s="64">
        <v>17</v>
      </c>
      <c r="G180">
        <f t="shared" si="4"/>
        <v>0.20183839064244438</v>
      </c>
      <c r="H180">
        <f t="shared" si="5"/>
        <v>0.98190262643569715</v>
      </c>
    </row>
    <row r="181" spans="1:8" hidden="1">
      <c r="A181" s="64">
        <v>1653</v>
      </c>
      <c r="B181" s="4" t="s">
        <v>501</v>
      </c>
      <c r="C181" s="4" t="s">
        <v>502</v>
      </c>
      <c r="D181" s="4" t="s">
        <v>248</v>
      </c>
      <c r="E181" s="64">
        <v>7</v>
      </c>
      <c r="F181" s="64">
        <v>10</v>
      </c>
      <c r="G181">
        <f t="shared" si="4"/>
        <v>3.7913481775530035E-2</v>
      </c>
      <c r="H181">
        <f t="shared" si="5"/>
        <v>-0.29193185589997478</v>
      </c>
    </row>
    <row r="182" spans="1:8" hidden="1">
      <c r="A182" s="64">
        <v>1655</v>
      </c>
      <c r="B182" s="4" t="s">
        <v>214</v>
      </c>
      <c r="C182" s="4" t="s">
        <v>503</v>
      </c>
      <c r="D182" s="4" t="s">
        <v>504</v>
      </c>
      <c r="E182" s="64">
        <v>19</v>
      </c>
      <c r="F182" s="64">
        <v>10</v>
      </c>
      <c r="G182">
        <f t="shared" si="4"/>
        <v>0.25648002693141581</v>
      </c>
      <c r="H182">
        <f t="shared" si="5"/>
        <v>-0.29193185589997478</v>
      </c>
    </row>
    <row r="183" spans="1:8" hidden="1">
      <c r="A183" s="64">
        <v>1659</v>
      </c>
      <c r="B183" s="4" t="s">
        <v>435</v>
      </c>
      <c r="C183" s="4" t="s">
        <v>505</v>
      </c>
      <c r="D183" s="4" t="s">
        <v>506</v>
      </c>
      <c r="E183" s="64">
        <v>4</v>
      </c>
      <c r="F183" s="64">
        <v>7</v>
      </c>
      <c r="G183">
        <f t="shared" si="4"/>
        <v>-1.6728154513441416E-2</v>
      </c>
      <c r="H183">
        <f t="shared" si="5"/>
        <v>-0.83786091975811994</v>
      </c>
    </row>
    <row r="184" spans="1:8" hidden="1">
      <c r="A184" s="64">
        <v>1664</v>
      </c>
      <c r="B184" s="4" t="s">
        <v>371</v>
      </c>
      <c r="C184" s="4" t="s">
        <v>507</v>
      </c>
      <c r="D184" s="4" t="s">
        <v>508</v>
      </c>
      <c r="E184" s="64">
        <v>7</v>
      </c>
      <c r="F184" s="64">
        <v>12</v>
      </c>
      <c r="G184">
        <f t="shared" si="4"/>
        <v>3.7913481775530035E-2</v>
      </c>
      <c r="H184">
        <f t="shared" si="5"/>
        <v>7.2020853338788646E-2</v>
      </c>
    </row>
    <row r="185" spans="1:8" hidden="1">
      <c r="A185" s="64">
        <v>1675</v>
      </c>
      <c r="B185" s="4" t="s">
        <v>267</v>
      </c>
      <c r="C185" s="4" t="s">
        <v>509</v>
      </c>
      <c r="D185" s="4" t="s">
        <v>297</v>
      </c>
      <c r="E185" s="64">
        <v>3</v>
      </c>
      <c r="F185" s="64">
        <v>10</v>
      </c>
      <c r="G185">
        <f t="shared" si="4"/>
        <v>-3.4942033276431902E-2</v>
      </c>
      <c r="H185">
        <f t="shared" si="5"/>
        <v>-0.29193185589997478</v>
      </c>
    </row>
    <row r="186" spans="1:8" hidden="1">
      <c r="A186" s="64">
        <v>1684</v>
      </c>
      <c r="B186" s="4" t="s">
        <v>510</v>
      </c>
      <c r="C186" s="4" t="s">
        <v>511</v>
      </c>
      <c r="D186" s="4" t="s">
        <v>512</v>
      </c>
      <c r="E186" s="64">
        <v>21</v>
      </c>
      <c r="F186" s="64">
        <v>11</v>
      </c>
      <c r="G186">
        <f t="shared" si="4"/>
        <v>0.29290778445739679</v>
      </c>
      <c r="H186">
        <f t="shared" si="5"/>
        <v>-0.10995550128059307</v>
      </c>
    </row>
    <row r="187" spans="1:8" hidden="1">
      <c r="A187" s="64">
        <v>1688</v>
      </c>
      <c r="B187" s="4" t="s">
        <v>338</v>
      </c>
      <c r="C187" s="4" t="s">
        <v>513</v>
      </c>
      <c r="D187" s="4" t="s">
        <v>434</v>
      </c>
      <c r="E187" s="64">
        <v>-6</v>
      </c>
      <c r="F187" s="64">
        <v>18</v>
      </c>
      <c r="G187">
        <f t="shared" si="4"/>
        <v>-0.19886694214334627</v>
      </c>
      <c r="H187">
        <f t="shared" si="5"/>
        <v>1.1638789810550789</v>
      </c>
    </row>
    <row r="188" spans="1:8" hidden="1">
      <c r="A188" s="64">
        <v>1689</v>
      </c>
      <c r="B188" s="4" t="s">
        <v>324</v>
      </c>
      <c r="C188" s="4" t="s">
        <v>354</v>
      </c>
      <c r="D188" s="4" t="s">
        <v>514</v>
      </c>
      <c r="E188" s="64">
        <v>-19</v>
      </c>
      <c r="F188" s="64">
        <v>9</v>
      </c>
      <c r="G188">
        <f t="shared" si="4"/>
        <v>-0.43564736606222254</v>
      </c>
      <c r="H188">
        <f t="shared" si="5"/>
        <v>-0.4739082105193565</v>
      </c>
    </row>
    <row r="189" spans="1:8" hidden="1">
      <c r="A189" s="64">
        <v>1693</v>
      </c>
      <c r="B189" s="4" t="s">
        <v>241</v>
      </c>
      <c r="C189" s="4" t="s">
        <v>515</v>
      </c>
      <c r="D189" s="4" t="s">
        <v>503</v>
      </c>
      <c r="E189" s="64">
        <v>-20</v>
      </c>
      <c r="F189" s="64">
        <v>7</v>
      </c>
      <c r="G189">
        <f t="shared" si="4"/>
        <v>-0.45386124482521306</v>
      </c>
      <c r="H189">
        <f t="shared" si="5"/>
        <v>-0.83786091975811994</v>
      </c>
    </row>
    <row r="190" spans="1:8" hidden="1">
      <c r="A190" s="64">
        <v>1694</v>
      </c>
      <c r="B190" s="4" t="s">
        <v>197</v>
      </c>
      <c r="C190" s="4" t="s">
        <v>516</v>
      </c>
      <c r="D190" s="4" t="s">
        <v>517</v>
      </c>
      <c r="E190" s="64">
        <v>12</v>
      </c>
      <c r="F190" s="64">
        <v>8</v>
      </c>
      <c r="G190">
        <f t="shared" si="4"/>
        <v>0.12898287559048247</v>
      </c>
      <c r="H190">
        <f t="shared" si="5"/>
        <v>-0.65588456513873816</v>
      </c>
    </row>
    <row r="191" spans="1:8" hidden="1">
      <c r="A191" s="64">
        <v>1695</v>
      </c>
      <c r="B191" s="4" t="s">
        <v>286</v>
      </c>
      <c r="C191" s="4" t="s">
        <v>518</v>
      </c>
      <c r="D191" s="4" t="s">
        <v>519</v>
      </c>
      <c r="E191" s="64">
        <v>9</v>
      </c>
      <c r="F191" s="64">
        <v>16</v>
      </c>
      <c r="G191">
        <f t="shared" si="4"/>
        <v>7.4341239301511E-2</v>
      </c>
      <c r="H191">
        <f t="shared" si="5"/>
        <v>0.79992627181631548</v>
      </c>
    </row>
    <row r="192" spans="1:8" hidden="1">
      <c r="A192" s="64">
        <v>1696</v>
      </c>
      <c r="B192" s="4" t="s">
        <v>378</v>
      </c>
      <c r="C192" s="4" t="s">
        <v>520</v>
      </c>
      <c r="D192" s="4" t="s">
        <v>497</v>
      </c>
      <c r="E192" s="64">
        <v>13</v>
      </c>
      <c r="F192" s="64">
        <v>10</v>
      </c>
      <c r="G192">
        <f t="shared" si="4"/>
        <v>0.14719675435347293</v>
      </c>
      <c r="H192">
        <f t="shared" si="5"/>
        <v>-0.29193185589997478</v>
      </c>
    </row>
    <row r="193" spans="1:8" hidden="1">
      <c r="A193" s="64">
        <v>1703</v>
      </c>
      <c r="B193" s="4" t="s">
        <v>286</v>
      </c>
      <c r="C193" s="4" t="s">
        <v>360</v>
      </c>
      <c r="D193" s="4" t="s">
        <v>248</v>
      </c>
      <c r="E193" s="64">
        <v>3</v>
      </c>
      <c r="F193" s="64">
        <v>11</v>
      </c>
      <c r="G193">
        <f t="shared" si="4"/>
        <v>-3.4942033276431902E-2</v>
      </c>
      <c r="H193">
        <f t="shared" si="5"/>
        <v>-0.10995550128059307</v>
      </c>
    </row>
    <row r="194" spans="1:8" hidden="1">
      <c r="A194" s="64">
        <v>1705</v>
      </c>
      <c r="B194" s="4" t="s">
        <v>190</v>
      </c>
      <c r="C194" s="4" t="s">
        <v>521</v>
      </c>
      <c r="D194" s="4" t="s">
        <v>522</v>
      </c>
      <c r="E194" s="64">
        <v>14</v>
      </c>
      <c r="F194" s="64">
        <v>8</v>
      </c>
      <c r="G194">
        <f t="shared" si="4"/>
        <v>0.1654106331164634</v>
      </c>
      <c r="H194">
        <f t="shared" si="5"/>
        <v>-0.65588456513873816</v>
      </c>
    </row>
    <row r="195" spans="1:8" hidden="1">
      <c r="A195" s="64">
        <v>1706</v>
      </c>
      <c r="B195" s="4" t="s">
        <v>415</v>
      </c>
      <c r="C195" s="4" t="s">
        <v>523</v>
      </c>
      <c r="D195" s="4" t="s">
        <v>460</v>
      </c>
      <c r="E195" s="64">
        <v>1</v>
      </c>
      <c r="F195" s="64">
        <v>14</v>
      </c>
      <c r="G195">
        <f t="shared" si="4"/>
        <v>-7.1369790802412875E-2</v>
      </c>
      <c r="H195">
        <f t="shared" si="5"/>
        <v>0.43597356257755204</v>
      </c>
    </row>
    <row r="196" spans="1:8" hidden="1">
      <c r="A196" s="64">
        <v>1708</v>
      </c>
      <c r="B196" s="4" t="s">
        <v>190</v>
      </c>
      <c r="C196" s="4" t="s">
        <v>413</v>
      </c>
      <c r="D196" s="4" t="s">
        <v>524</v>
      </c>
      <c r="E196" s="64">
        <v>9</v>
      </c>
      <c r="F196" s="64">
        <v>8</v>
      </c>
      <c r="G196">
        <f t="shared" si="4"/>
        <v>7.4341239301511E-2</v>
      </c>
      <c r="H196">
        <f t="shared" si="5"/>
        <v>-0.65588456513873816</v>
      </c>
    </row>
    <row r="197" spans="1:8" hidden="1">
      <c r="A197" s="64">
        <v>1709</v>
      </c>
      <c r="B197" s="4" t="s">
        <v>247</v>
      </c>
      <c r="C197" s="4" t="s">
        <v>403</v>
      </c>
      <c r="D197" s="4" t="s">
        <v>264</v>
      </c>
      <c r="E197" s="64">
        <v>59</v>
      </c>
      <c r="F197" s="64">
        <v>9</v>
      </c>
      <c r="G197">
        <f t="shared" si="4"/>
        <v>0.98503517745103519</v>
      </c>
      <c r="H197">
        <f t="shared" si="5"/>
        <v>-0.4739082105193565</v>
      </c>
    </row>
    <row r="198" spans="1:8" hidden="1">
      <c r="A198" s="64">
        <v>1711</v>
      </c>
      <c r="B198" s="4" t="s">
        <v>190</v>
      </c>
      <c r="C198" s="4" t="s">
        <v>525</v>
      </c>
      <c r="D198" s="4" t="s">
        <v>526</v>
      </c>
      <c r="E198" s="64">
        <v>1</v>
      </c>
      <c r="F198" s="64">
        <v>11</v>
      </c>
      <c r="G198">
        <f t="shared" si="4"/>
        <v>-7.1369790802412875E-2</v>
      </c>
      <c r="H198">
        <f t="shared" si="5"/>
        <v>-0.10995550128059307</v>
      </c>
    </row>
    <row r="199" spans="1:8" hidden="1">
      <c r="A199" s="64">
        <v>1714</v>
      </c>
      <c r="B199" s="4" t="s">
        <v>527</v>
      </c>
      <c r="C199" s="4" t="s">
        <v>528</v>
      </c>
      <c r="D199" s="4" t="s">
        <v>529</v>
      </c>
      <c r="E199" s="64">
        <v>26</v>
      </c>
      <c r="F199" s="64">
        <v>12</v>
      </c>
      <c r="G199">
        <f t="shared" si="4"/>
        <v>0.38397717827234923</v>
      </c>
      <c r="H199">
        <f t="shared" si="5"/>
        <v>7.2020853338788646E-2</v>
      </c>
    </row>
    <row r="200" spans="1:8" hidden="1">
      <c r="A200" s="64">
        <v>1716</v>
      </c>
      <c r="B200" s="4" t="s">
        <v>217</v>
      </c>
      <c r="C200" s="4" t="s">
        <v>530</v>
      </c>
      <c r="D200" s="4" t="s">
        <v>460</v>
      </c>
      <c r="E200" s="64">
        <v>19</v>
      </c>
      <c r="F200" s="64">
        <v>12</v>
      </c>
      <c r="G200">
        <f t="shared" ref="G200:G263" si="6">STANDARDIZE(E200,$C$341,$C$342)</f>
        <v>0.25648002693141581</v>
      </c>
      <c r="H200">
        <f t="shared" ref="H200:H263" si="7">STANDARDIZE(F200,$D$341,$D$342)</f>
        <v>7.2020853338788646E-2</v>
      </c>
    </row>
    <row r="201" spans="1:8" hidden="1">
      <c r="A201" s="64">
        <v>1717</v>
      </c>
      <c r="B201" s="4" t="s">
        <v>448</v>
      </c>
      <c r="C201" s="4" t="s">
        <v>531</v>
      </c>
      <c r="D201" s="4" t="s">
        <v>234</v>
      </c>
      <c r="E201" s="64">
        <v>-1</v>
      </c>
      <c r="F201" s="64">
        <v>15</v>
      </c>
      <c r="G201">
        <f t="shared" si="6"/>
        <v>-0.10779754832839383</v>
      </c>
      <c r="H201">
        <f t="shared" si="7"/>
        <v>0.61794991719693382</v>
      </c>
    </row>
    <row r="202" spans="1:8" hidden="1">
      <c r="A202" s="64">
        <v>1720</v>
      </c>
      <c r="B202" s="4" t="s">
        <v>197</v>
      </c>
      <c r="C202" s="4" t="s">
        <v>532</v>
      </c>
      <c r="D202" s="4" t="s">
        <v>418</v>
      </c>
      <c r="E202" s="64">
        <v>20</v>
      </c>
      <c r="F202" s="64">
        <v>8</v>
      </c>
      <c r="G202">
        <f t="shared" si="6"/>
        <v>0.27469390569440633</v>
      </c>
      <c r="H202">
        <f t="shared" si="7"/>
        <v>-0.65588456513873816</v>
      </c>
    </row>
    <row r="203" spans="1:8" hidden="1">
      <c r="A203" s="64">
        <v>1723</v>
      </c>
      <c r="B203" s="4" t="s">
        <v>172</v>
      </c>
      <c r="C203" s="4" t="s">
        <v>533</v>
      </c>
      <c r="D203" s="4" t="s">
        <v>321</v>
      </c>
      <c r="E203" s="64">
        <v>-29</v>
      </c>
      <c r="F203" s="64">
        <v>7</v>
      </c>
      <c r="G203">
        <f t="shared" si="6"/>
        <v>-0.6177861536921273</v>
      </c>
      <c r="H203">
        <f t="shared" si="7"/>
        <v>-0.83786091975811994</v>
      </c>
    </row>
    <row r="204" spans="1:8" hidden="1">
      <c r="A204" s="64">
        <v>1727</v>
      </c>
      <c r="B204" s="4" t="s">
        <v>172</v>
      </c>
      <c r="C204" s="4" t="s">
        <v>534</v>
      </c>
      <c r="D204" s="4" t="s">
        <v>504</v>
      </c>
      <c r="E204" s="64">
        <v>-45</v>
      </c>
      <c r="F204" s="64">
        <v>8</v>
      </c>
      <c r="G204">
        <f t="shared" si="6"/>
        <v>-0.90920821389997508</v>
      </c>
      <c r="H204">
        <f t="shared" si="7"/>
        <v>-0.65588456513873816</v>
      </c>
    </row>
    <row r="205" spans="1:8" hidden="1">
      <c r="A205" s="64">
        <v>1728</v>
      </c>
      <c r="B205" s="4" t="s">
        <v>535</v>
      </c>
      <c r="C205" s="4" t="s">
        <v>413</v>
      </c>
      <c r="D205" s="4" t="s">
        <v>536</v>
      </c>
      <c r="E205" s="64">
        <v>-21</v>
      </c>
      <c r="F205" s="64">
        <v>8</v>
      </c>
      <c r="G205">
        <f t="shared" si="6"/>
        <v>-0.47207512358820353</v>
      </c>
      <c r="H205">
        <f t="shared" si="7"/>
        <v>-0.65588456513873816</v>
      </c>
    </row>
    <row r="206" spans="1:8" hidden="1">
      <c r="A206" s="64">
        <v>1731</v>
      </c>
      <c r="B206" s="4" t="s">
        <v>537</v>
      </c>
      <c r="C206" s="4" t="s">
        <v>413</v>
      </c>
      <c r="D206" s="4" t="s">
        <v>538</v>
      </c>
      <c r="E206" s="64">
        <v>-6</v>
      </c>
      <c r="F206" s="64">
        <v>17</v>
      </c>
      <c r="G206">
        <f t="shared" si="6"/>
        <v>-0.19886694214334627</v>
      </c>
      <c r="H206">
        <f t="shared" si="7"/>
        <v>0.98190262643569715</v>
      </c>
    </row>
    <row r="207" spans="1:8" hidden="1">
      <c r="A207" s="64">
        <v>1734</v>
      </c>
      <c r="B207" s="4" t="s">
        <v>185</v>
      </c>
      <c r="C207" s="4" t="s">
        <v>539</v>
      </c>
      <c r="D207" s="4" t="s">
        <v>540</v>
      </c>
      <c r="E207" s="64">
        <v>-8</v>
      </c>
      <c r="F207" s="64">
        <v>13</v>
      </c>
      <c r="G207">
        <f t="shared" si="6"/>
        <v>-0.23529469966932723</v>
      </c>
      <c r="H207">
        <f t="shared" si="7"/>
        <v>0.25399720795817032</v>
      </c>
    </row>
    <row r="208" spans="1:8" hidden="1">
      <c r="A208" s="64">
        <v>1737</v>
      </c>
      <c r="B208" s="4" t="s">
        <v>172</v>
      </c>
      <c r="C208" s="4" t="s">
        <v>287</v>
      </c>
      <c r="D208" s="4" t="s">
        <v>170</v>
      </c>
      <c r="E208" s="64">
        <v>-30</v>
      </c>
      <c r="F208" s="64">
        <v>8</v>
      </c>
      <c r="G208">
        <f t="shared" si="6"/>
        <v>-0.63600003245511783</v>
      </c>
      <c r="H208">
        <f t="shared" si="7"/>
        <v>-0.65588456513873816</v>
      </c>
    </row>
    <row r="209" spans="1:8" hidden="1">
      <c r="A209" s="64">
        <v>1738</v>
      </c>
      <c r="B209" s="4" t="s">
        <v>356</v>
      </c>
      <c r="C209" s="4" t="s">
        <v>541</v>
      </c>
      <c r="D209" s="4" t="s">
        <v>353</v>
      </c>
      <c r="E209" s="64">
        <v>-10</v>
      </c>
      <c r="F209" s="64">
        <v>12</v>
      </c>
      <c r="G209">
        <f t="shared" si="6"/>
        <v>-0.27172245719530819</v>
      </c>
      <c r="H209">
        <f t="shared" si="7"/>
        <v>7.2020853338788646E-2</v>
      </c>
    </row>
    <row r="210" spans="1:8" hidden="1">
      <c r="A210" s="64">
        <v>1739</v>
      </c>
      <c r="B210" s="4" t="s">
        <v>255</v>
      </c>
      <c r="C210" s="4" t="s">
        <v>542</v>
      </c>
      <c r="D210" s="4" t="s">
        <v>437</v>
      </c>
      <c r="E210" s="64">
        <v>-2</v>
      </c>
      <c r="F210" s="64">
        <v>9</v>
      </c>
      <c r="G210">
        <f t="shared" si="6"/>
        <v>-0.12601142709138433</v>
      </c>
      <c r="H210">
        <f t="shared" si="7"/>
        <v>-0.4739082105193565</v>
      </c>
    </row>
    <row r="211" spans="1:8" hidden="1">
      <c r="A211" s="64">
        <v>1740</v>
      </c>
      <c r="B211" s="4" t="s">
        <v>161</v>
      </c>
      <c r="C211" s="4" t="s">
        <v>543</v>
      </c>
      <c r="D211" s="4" t="s">
        <v>544</v>
      </c>
      <c r="E211" s="64">
        <v>13</v>
      </c>
      <c r="F211" s="64">
        <v>11</v>
      </c>
      <c r="G211">
        <f t="shared" si="6"/>
        <v>0.14719675435347293</v>
      </c>
      <c r="H211">
        <f t="shared" si="7"/>
        <v>-0.10995550128059307</v>
      </c>
    </row>
    <row r="212" spans="1:8" hidden="1">
      <c r="A212" s="64">
        <v>1747</v>
      </c>
      <c r="B212" s="4" t="s">
        <v>214</v>
      </c>
      <c r="C212" s="4" t="s">
        <v>545</v>
      </c>
      <c r="D212" s="4" t="s">
        <v>546</v>
      </c>
      <c r="E212" s="64">
        <v>46</v>
      </c>
      <c r="F212" s="64">
        <v>15</v>
      </c>
      <c r="G212">
        <f t="shared" si="6"/>
        <v>0.74825475353215898</v>
      </c>
      <c r="H212">
        <f t="shared" si="7"/>
        <v>0.61794991719693382</v>
      </c>
    </row>
    <row r="213" spans="1:8" hidden="1">
      <c r="A213" s="64">
        <v>1759</v>
      </c>
      <c r="B213" s="4" t="s">
        <v>461</v>
      </c>
      <c r="C213" s="4" t="s">
        <v>380</v>
      </c>
      <c r="D213" s="4" t="s">
        <v>442</v>
      </c>
      <c r="E213" s="64">
        <v>-9</v>
      </c>
      <c r="F213" s="64">
        <v>13</v>
      </c>
      <c r="G213">
        <f t="shared" si="6"/>
        <v>-0.25350857843231772</v>
      </c>
      <c r="H213">
        <f t="shared" si="7"/>
        <v>0.25399720795817032</v>
      </c>
    </row>
    <row r="214" spans="1:8" hidden="1">
      <c r="A214" s="64">
        <v>1766</v>
      </c>
      <c r="B214" s="4" t="s">
        <v>547</v>
      </c>
      <c r="C214" s="4" t="s">
        <v>298</v>
      </c>
      <c r="D214" s="4" t="s">
        <v>275</v>
      </c>
      <c r="E214" s="64">
        <v>-1</v>
      </c>
      <c r="F214" s="64">
        <v>11</v>
      </c>
      <c r="G214">
        <f t="shared" si="6"/>
        <v>-0.10779754832839383</v>
      </c>
      <c r="H214">
        <f t="shared" si="7"/>
        <v>-0.10995550128059307</v>
      </c>
    </row>
    <row r="215" spans="1:8" hidden="1">
      <c r="A215" s="64">
        <v>1769</v>
      </c>
      <c r="B215" s="4" t="s">
        <v>205</v>
      </c>
      <c r="C215" s="4" t="s">
        <v>212</v>
      </c>
      <c r="D215" s="4" t="s">
        <v>548</v>
      </c>
      <c r="E215" s="64">
        <v>-25</v>
      </c>
      <c r="F215" s="64">
        <v>9</v>
      </c>
      <c r="G215">
        <f t="shared" si="6"/>
        <v>-0.54493063864016544</v>
      </c>
      <c r="H215">
        <f t="shared" si="7"/>
        <v>-0.4739082105193565</v>
      </c>
    </row>
    <row r="216" spans="1:8" hidden="1">
      <c r="A216" s="64">
        <v>1771</v>
      </c>
      <c r="B216" s="4" t="s">
        <v>205</v>
      </c>
      <c r="C216" s="4" t="s">
        <v>549</v>
      </c>
      <c r="D216" s="4" t="s">
        <v>550</v>
      </c>
      <c r="E216" s="64">
        <v>-7</v>
      </c>
      <c r="F216" s="64">
        <v>9</v>
      </c>
      <c r="G216">
        <f t="shared" si="6"/>
        <v>-0.21708082090633676</v>
      </c>
      <c r="H216">
        <f t="shared" si="7"/>
        <v>-0.4739082105193565</v>
      </c>
    </row>
    <row r="217" spans="1:8" hidden="1">
      <c r="A217" s="64">
        <v>1775</v>
      </c>
      <c r="B217" s="4" t="s">
        <v>205</v>
      </c>
      <c r="C217" s="4" t="s">
        <v>551</v>
      </c>
      <c r="D217" s="4" t="s">
        <v>552</v>
      </c>
      <c r="E217" s="64">
        <v>-38</v>
      </c>
      <c r="F217" s="64">
        <v>10</v>
      </c>
      <c r="G217">
        <f t="shared" si="6"/>
        <v>-0.78171106255904166</v>
      </c>
      <c r="H217">
        <f t="shared" si="7"/>
        <v>-0.29193185589997478</v>
      </c>
    </row>
    <row r="218" spans="1:8" hidden="1">
      <c r="A218" s="64">
        <v>1779</v>
      </c>
      <c r="B218" s="4" t="s">
        <v>205</v>
      </c>
      <c r="C218" s="4" t="s">
        <v>553</v>
      </c>
      <c r="D218" s="4" t="s">
        <v>375</v>
      </c>
      <c r="E218" s="64">
        <v>-30</v>
      </c>
      <c r="F218" s="64">
        <v>7</v>
      </c>
      <c r="G218">
        <f t="shared" si="6"/>
        <v>-0.63600003245511783</v>
      </c>
      <c r="H218">
        <f t="shared" si="7"/>
        <v>-0.83786091975811994</v>
      </c>
    </row>
    <row r="219" spans="1:8" hidden="1">
      <c r="A219" s="64">
        <v>1781</v>
      </c>
      <c r="B219" s="4" t="s">
        <v>205</v>
      </c>
      <c r="C219" s="4" t="s">
        <v>554</v>
      </c>
      <c r="D219" s="4" t="s">
        <v>512</v>
      </c>
      <c r="E219" s="64">
        <v>-35</v>
      </c>
      <c r="F219" s="64">
        <v>11</v>
      </c>
      <c r="G219">
        <f t="shared" si="6"/>
        <v>-0.72706942627007021</v>
      </c>
      <c r="H219">
        <f t="shared" si="7"/>
        <v>-0.10995550128059307</v>
      </c>
    </row>
    <row r="220" spans="1:8" hidden="1">
      <c r="A220" s="64">
        <v>1783</v>
      </c>
      <c r="B220" s="4" t="s">
        <v>205</v>
      </c>
      <c r="C220" s="4" t="s">
        <v>202</v>
      </c>
      <c r="D220" s="4" t="s">
        <v>555</v>
      </c>
      <c r="E220" s="64">
        <v>-18</v>
      </c>
      <c r="F220" s="64">
        <v>9</v>
      </c>
      <c r="G220">
        <f t="shared" si="6"/>
        <v>-0.41743348729923208</v>
      </c>
      <c r="H220">
        <f t="shared" si="7"/>
        <v>-0.4739082105193565</v>
      </c>
    </row>
    <row r="221" spans="1:8" hidden="1">
      <c r="A221" s="64">
        <v>1785</v>
      </c>
      <c r="B221" s="4" t="s">
        <v>205</v>
      </c>
      <c r="C221" s="4" t="s">
        <v>556</v>
      </c>
      <c r="D221" s="4" t="s">
        <v>557</v>
      </c>
      <c r="E221" s="64">
        <v>-23</v>
      </c>
      <c r="F221" s="64">
        <v>8</v>
      </c>
      <c r="G221">
        <f t="shared" si="6"/>
        <v>-0.50850288111418451</v>
      </c>
      <c r="H221">
        <f t="shared" si="7"/>
        <v>-0.65588456513873816</v>
      </c>
    </row>
    <row r="222" spans="1:8" hidden="1">
      <c r="A222" s="64">
        <v>1787</v>
      </c>
      <c r="B222" s="4" t="s">
        <v>205</v>
      </c>
      <c r="C222" s="4" t="s">
        <v>276</v>
      </c>
      <c r="D222" s="4" t="s">
        <v>558</v>
      </c>
      <c r="E222" s="64">
        <v>-16</v>
      </c>
      <c r="F222" s="64">
        <v>28</v>
      </c>
      <c r="G222">
        <f t="shared" si="6"/>
        <v>-0.38100572977325109</v>
      </c>
      <c r="H222">
        <f t="shared" si="7"/>
        <v>2.9836425272488958</v>
      </c>
    </row>
    <row r="223" spans="1:8" hidden="1">
      <c r="A223" s="64">
        <v>1789</v>
      </c>
      <c r="B223" s="4" t="s">
        <v>205</v>
      </c>
      <c r="C223" s="4" t="s">
        <v>519</v>
      </c>
      <c r="D223" s="4" t="s">
        <v>559</v>
      </c>
      <c r="E223" s="64">
        <v>-17</v>
      </c>
      <c r="F223" s="64">
        <v>15</v>
      </c>
      <c r="G223">
        <f t="shared" si="6"/>
        <v>-0.39921960853624161</v>
      </c>
      <c r="H223">
        <f t="shared" si="7"/>
        <v>0.61794991719693382</v>
      </c>
    </row>
    <row r="224" spans="1:8" hidden="1">
      <c r="A224" s="64">
        <v>1790</v>
      </c>
      <c r="B224" s="4" t="s">
        <v>269</v>
      </c>
      <c r="C224" s="4" t="s">
        <v>287</v>
      </c>
      <c r="D224" s="4" t="s">
        <v>245</v>
      </c>
      <c r="E224" s="64">
        <v>35</v>
      </c>
      <c r="F224" s="64">
        <v>10</v>
      </c>
      <c r="G224">
        <f t="shared" si="6"/>
        <v>0.54790208713926358</v>
      </c>
      <c r="H224">
        <f t="shared" si="7"/>
        <v>-0.29193185589997478</v>
      </c>
    </row>
    <row r="225" spans="1:8" hidden="1">
      <c r="A225" s="64">
        <v>1793</v>
      </c>
      <c r="B225" s="4" t="s">
        <v>205</v>
      </c>
      <c r="C225" s="4" t="s">
        <v>343</v>
      </c>
      <c r="D225" s="4" t="s">
        <v>254</v>
      </c>
      <c r="E225" s="64">
        <v>-27</v>
      </c>
      <c r="F225" s="64">
        <v>9</v>
      </c>
      <c r="G225">
        <f t="shared" si="6"/>
        <v>-0.58135839616614637</v>
      </c>
      <c r="H225">
        <f t="shared" si="7"/>
        <v>-0.4739082105193565</v>
      </c>
    </row>
    <row r="226" spans="1:8" hidden="1">
      <c r="A226" s="64">
        <v>1797</v>
      </c>
      <c r="B226" s="4" t="s">
        <v>205</v>
      </c>
      <c r="C226" s="4" t="s">
        <v>517</v>
      </c>
      <c r="D226" s="4" t="s">
        <v>560</v>
      </c>
      <c r="E226" s="64">
        <v>-27</v>
      </c>
      <c r="F226" s="64">
        <v>9</v>
      </c>
      <c r="G226">
        <f t="shared" si="6"/>
        <v>-0.58135839616614637</v>
      </c>
      <c r="H226">
        <f t="shared" si="7"/>
        <v>-0.4739082105193565</v>
      </c>
    </row>
    <row r="227" spans="1:8" hidden="1">
      <c r="A227" s="64">
        <v>1844</v>
      </c>
      <c r="B227" s="4" t="s">
        <v>197</v>
      </c>
      <c r="C227" s="4" t="s">
        <v>561</v>
      </c>
      <c r="D227" s="4" t="s">
        <v>562</v>
      </c>
      <c r="E227" s="64">
        <v>-8</v>
      </c>
      <c r="F227" s="64">
        <v>10</v>
      </c>
      <c r="G227">
        <f t="shared" si="6"/>
        <v>-0.23529469966932723</v>
      </c>
      <c r="H227">
        <f t="shared" si="7"/>
        <v>-0.29193185589997478</v>
      </c>
    </row>
    <row r="228" spans="1:8" hidden="1">
      <c r="A228" s="64">
        <v>1850</v>
      </c>
      <c r="B228" s="4" t="s">
        <v>435</v>
      </c>
      <c r="C228" s="4" t="s">
        <v>563</v>
      </c>
      <c r="D228" s="4" t="s">
        <v>564</v>
      </c>
      <c r="E228" s="64">
        <v>-8</v>
      </c>
      <c r="F228" s="64">
        <v>7</v>
      </c>
      <c r="G228">
        <f t="shared" si="6"/>
        <v>-0.23529469966932723</v>
      </c>
      <c r="H228">
        <f t="shared" si="7"/>
        <v>-0.83786091975811994</v>
      </c>
    </row>
    <row r="229" spans="1:8" hidden="1">
      <c r="A229" s="64">
        <v>1851</v>
      </c>
      <c r="B229" s="4" t="s">
        <v>565</v>
      </c>
      <c r="C229" s="4" t="s">
        <v>566</v>
      </c>
      <c r="D229" s="4" t="s">
        <v>567</v>
      </c>
      <c r="E229" s="64">
        <v>-27</v>
      </c>
      <c r="F229" s="64">
        <v>9</v>
      </c>
      <c r="G229">
        <f t="shared" si="6"/>
        <v>-0.58135839616614637</v>
      </c>
      <c r="H229">
        <f t="shared" si="7"/>
        <v>-0.4739082105193565</v>
      </c>
    </row>
    <row r="230" spans="1:8" hidden="1">
      <c r="A230" s="64">
        <v>1852</v>
      </c>
      <c r="B230" s="4" t="s">
        <v>356</v>
      </c>
      <c r="C230" s="4" t="s">
        <v>538</v>
      </c>
      <c r="D230" s="4" t="s">
        <v>568</v>
      </c>
      <c r="E230" s="64">
        <v>-3</v>
      </c>
      <c r="F230" s="64">
        <v>10</v>
      </c>
      <c r="G230">
        <f t="shared" si="6"/>
        <v>-0.14422530585437479</v>
      </c>
      <c r="H230">
        <f t="shared" si="7"/>
        <v>-0.29193185589997478</v>
      </c>
    </row>
    <row r="231" spans="1:8" hidden="1">
      <c r="A231" s="64">
        <v>1853</v>
      </c>
      <c r="B231" s="4" t="s">
        <v>565</v>
      </c>
      <c r="C231" s="4" t="s">
        <v>569</v>
      </c>
      <c r="D231" s="4" t="s">
        <v>570</v>
      </c>
      <c r="E231" s="64">
        <v>-14</v>
      </c>
      <c r="F231" s="64">
        <v>20</v>
      </c>
      <c r="G231">
        <f t="shared" si="6"/>
        <v>-0.34457797224727016</v>
      </c>
      <c r="H231">
        <f t="shared" si="7"/>
        <v>1.5278316902938422</v>
      </c>
    </row>
    <row r="232" spans="1:8" hidden="1">
      <c r="A232" s="64">
        <v>1854</v>
      </c>
      <c r="B232" s="4" t="s">
        <v>274</v>
      </c>
      <c r="C232" s="4" t="s">
        <v>571</v>
      </c>
      <c r="D232" s="4" t="s">
        <v>491</v>
      </c>
      <c r="E232" s="64">
        <v>2</v>
      </c>
      <c r="F232" s="64">
        <v>14</v>
      </c>
      <c r="G232">
        <f t="shared" si="6"/>
        <v>-5.3155912039422382E-2</v>
      </c>
      <c r="H232">
        <f t="shared" si="7"/>
        <v>0.43597356257755204</v>
      </c>
    </row>
    <row r="233" spans="1:8" hidden="1">
      <c r="A233" s="64">
        <v>1855</v>
      </c>
      <c r="B233" s="4" t="s">
        <v>565</v>
      </c>
      <c r="C233" s="4" t="s">
        <v>572</v>
      </c>
      <c r="D233" s="4" t="s">
        <v>494</v>
      </c>
      <c r="E233" s="64">
        <v>-29</v>
      </c>
      <c r="F233" s="64">
        <v>8</v>
      </c>
      <c r="G233">
        <f t="shared" si="6"/>
        <v>-0.6177861536921273</v>
      </c>
      <c r="H233">
        <f t="shared" si="7"/>
        <v>-0.65588456513873816</v>
      </c>
    </row>
    <row r="234" spans="1:8" hidden="1">
      <c r="A234" s="64">
        <v>1857</v>
      </c>
      <c r="B234" s="4" t="s">
        <v>565</v>
      </c>
      <c r="C234" s="4" t="s">
        <v>453</v>
      </c>
      <c r="D234" s="4" t="s">
        <v>573</v>
      </c>
      <c r="E234" s="64">
        <v>-38</v>
      </c>
      <c r="F234" s="64">
        <v>5</v>
      </c>
      <c r="G234">
        <f t="shared" si="6"/>
        <v>-0.78171106255904166</v>
      </c>
      <c r="H234">
        <f t="shared" si="7"/>
        <v>-1.2018136289968833</v>
      </c>
    </row>
    <row r="235" spans="1:8" hidden="1">
      <c r="A235" s="64">
        <v>1859</v>
      </c>
      <c r="B235" s="4" t="s">
        <v>565</v>
      </c>
      <c r="C235" s="4" t="s">
        <v>529</v>
      </c>
      <c r="D235" s="4" t="s">
        <v>302</v>
      </c>
      <c r="E235" s="64">
        <v>-19</v>
      </c>
      <c r="F235" s="64">
        <v>9</v>
      </c>
      <c r="G235">
        <f t="shared" si="6"/>
        <v>-0.43564736606222254</v>
      </c>
      <c r="H235">
        <f t="shared" si="7"/>
        <v>-0.4739082105193565</v>
      </c>
    </row>
    <row r="236" spans="1:8" hidden="1">
      <c r="A236" s="64">
        <v>1861</v>
      </c>
      <c r="B236" s="4" t="s">
        <v>565</v>
      </c>
      <c r="C236" s="4" t="s">
        <v>201</v>
      </c>
      <c r="D236" s="4" t="s">
        <v>450</v>
      </c>
      <c r="E236" s="64">
        <v>-30</v>
      </c>
      <c r="F236" s="64">
        <v>9</v>
      </c>
      <c r="G236">
        <f t="shared" si="6"/>
        <v>-0.63600003245511783</v>
      </c>
      <c r="H236">
        <f t="shared" si="7"/>
        <v>-0.4739082105193565</v>
      </c>
    </row>
    <row r="237" spans="1:8" hidden="1">
      <c r="A237" s="64">
        <v>1865</v>
      </c>
      <c r="B237" s="4" t="s">
        <v>565</v>
      </c>
      <c r="C237" s="4" t="s">
        <v>283</v>
      </c>
      <c r="D237" s="4" t="s">
        <v>574</v>
      </c>
      <c r="E237" s="64">
        <v>-24</v>
      </c>
      <c r="F237" s="64">
        <v>9</v>
      </c>
      <c r="G237">
        <f t="shared" si="6"/>
        <v>-0.52671675987717492</v>
      </c>
      <c r="H237">
        <f t="shared" si="7"/>
        <v>-0.4739082105193565</v>
      </c>
    </row>
    <row r="238" spans="1:8" hidden="1">
      <c r="A238" s="64">
        <v>1867</v>
      </c>
      <c r="B238" s="4" t="s">
        <v>565</v>
      </c>
      <c r="C238" s="4" t="s">
        <v>575</v>
      </c>
      <c r="D238" s="4" t="s">
        <v>156</v>
      </c>
      <c r="E238" s="64">
        <v>13</v>
      </c>
      <c r="F238" s="64">
        <v>35</v>
      </c>
      <c r="G238">
        <f t="shared" si="6"/>
        <v>0.14719675435347293</v>
      </c>
      <c r="H238">
        <f t="shared" si="7"/>
        <v>4.2574770095845675</v>
      </c>
    </row>
    <row r="239" spans="1:8" hidden="1">
      <c r="A239" s="64">
        <v>1869</v>
      </c>
      <c r="B239" s="4" t="s">
        <v>565</v>
      </c>
      <c r="C239" s="4" t="s">
        <v>476</v>
      </c>
      <c r="D239" s="4" t="s">
        <v>576</v>
      </c>
      <c r="E239" s="64">
        <v>8</v>
      </c>
      <c r="F239" s="64">
        <v>9</v>
      </c>
      <c r="G239">
        <f t="shared" si="6"/>
        <v>5.6127360538520514E-2</v>
      </c>
      <c r="H239">
        <f t="shared" si="7"/>
        <v>-0.4739082105193565</v>
      </c>
    </row>
    <row r="240" spans="1:8" hidden="1">
      <c r="A240" s="64">
        <v>1877</v>
      </c>
      <c r="B240" s="4" t="s">
        <v>577</v>
      </c>
      <c r="C240" s="4" t="s">
        <v>578</v>
      </c>
      <c r="D240" s="4" t="s">
        <v>566</v>
      </c>
      <c r="E240" s="64">
        <v>2</v>
      </c>
      <c r="F240" s="64">
        <v>20</v>
      </c>
      <c r="G240">
        <f t="shared" si="6"/>
        <v>-5.3155912039422382E-2</v>
      </c>
      <c r="H240">
        <f t="shared" si="7"/>
        <v>1.5278316902938422</v>
      </c>
    </row>
    <row r="241" spans="1:8" hidden="1">
      <c r="A241" s="64">
        <v>1878</v>
      </c>
      <c r="B241" s="4" t="s">
        <v>435</v>
      </c>
      <c r="C241" s="4" t="s">
        <v>248</v>
      </c>
      <c r="D241" s="4" t="s">
        <v>579</v>
      </c>
      <c r="E241" s="64">
        <v>15</v>
      </c>
      <c r="F241" s="64">
        <v>9</v>
      </c>
      <c r="G241">
        <f t="shared" si="6"/>
        <v>0.18362451187945389</v>
      </c>
      <c r="H241">
        <f t="shared" si="7"/>
        <v>-0.4739082105193565</v>
      </c>
    </row>
    <row r="242" spans="1:8" hidden="1">
      <c r="A242" s="64">
        <v>1879</v>
      </c>
      <c r="B242" s="4" t="s">
        <v>577</v>
      </c>
      <c r="C242" s="4" t="s">
        <v>380</v>
      </c>
      <c r="D242" s="4" t="s">
        <v>261</v>
      </c>
      <c r="E242" s="64">
        <v>-1</v>
      </c>
      <c r="F242" s="64">
        <v>11</v>
      </c>
      <c r="G242">
        <f t="shared" si="6"/>
        <v>-0.10779754832839383</v>
      </c>
      <c r="H242">
        <f t="shared" si="7"/>
        <v>-0.10995550128059307</v>
      </c>
    </row>
    <row r="243" spans="1:8" hidden="1">
      <c r="A243" s="64">
        <v>1881</v>
      </c>
      <c r="B243" s="4" t="s">
        <v>577</v>
      </c>
      <c r="C243" s="4" t="s">
        <v>580</v>
      </c>
      <c r="D243" s="4" t="s">
        <v>581</v>
      </c>
      <c r="E243" s="64">
        <v>-1</v>
      </c>
      <c r="F243" s="64">
        <v>14</v>
      </c>
      <c r="G243">
        <f t="shared" si="6"/>
        <v>-0.10779754832839383</v>
      </c>
      <c r="H243">
        <f t="shared" si="7"/>
        <v>0.43597356257755204</v>
      </c>
    </row>
    <row r="244" spans="1:8" hidden="1">
      <c r="A244" s="64">
        <v>1882</v>
      </c>
      <c r="B244" s="4" t="s">
        <v>435</v>
      </c>
      <c r="C244" s="4" t="s">
        <v>582</v>
      </c>
      <c r="D244" s="4" t="s">
        <v>583</v>
      </c>
      <c r="E244" s="64">
        <v>7</v>
      </c>
      <c r="F244" s="64">
        <v>11</v>
      </c>
      <c r="G244">
        <f t="shared" si="6"/>
        <v>3.7913481775530035E-2</v>
      </c>
      <c r="H244">
        <f t="shared" si="7"/>
        <v>-0.10995550128059307</v>
      </c>
    </row>
    <row r="245" spans="1:8" hidden="1">
      <c r="A245" s="64">
        <v>1883</v>
      </c>
      <c r="B245" s="4" t="s">
        <v>577</v>
      </c>
      <c r="C245" s="4" t="s">
        <v>398</v>
      </c>
      <c r="D245" s="4" t="s">
        <v>584</v>
      </c>
      <c r="E245" s="64">
        <v>74</v>
      </c>
      <c r="F245" s="64">
        <v>10</v>
      </c>
      <c r="G245">
        <f t="shared" si="6"/>
        <v>1.2582433588958926</v>
      </c>
      <c r="H245">
        <f t="shared" si="7"/>
        <v>-0.29193185589997478</v>
      </c>
    </row>
    <row r="246" spans="1:8" hidden="1">
      <c r="A246" s="64">
        <v>1884</v>
      </c>
      <c r="B246" s="4" t="s">
        <v>382</v>
      </c>
      <c r="C246" s="4" t="s">
        <v>585</v>
      </c>
      <c r="D246" s="4" t="s">
        <v>586</v>
      </c>
      <c r="E246" s="64">
        <v>-1</v>
      </c>
      <c r="F246" s="64">
        <v>9</v>
      </c>
      <c r="G246">
        <f t="shared" si="6"/>
        <v>-0.10779754832839383</v>
      </c>
      <c r="H246">
        <f t="shared" si="7"/>
        <v>-0.4739082105193565</v>
      </c>
    </row>
    <row r="247" spans="1:8" hidden="1">
      <c r="A247" s="64">
        <v>1885</v>
      </c>
      <c r="B247" s="4" t="s">
        <v>577</v>
      </c>
      <c r="C247" s="4" t="s">
        <v>165</v>
      </c>
      <c r="D247" s="4" t="s">
        <v>587</v>
      </c>
      <c r="E247" s="64">
        <v>3</v>
      </c>
      <c r="F247" s="64">
        <v>9</v>
      </c>
      <c r="G247">
        <f t="shared" si="6"/>
        <v>-3.4942033276431902E-2</v>
      </c>
      <c r="H247">
        <f t="shared" si="7"/>
        <v>-0.4739082105193565</v>
      </c>
    </row>
    <row r="248" spans="1:8" hidden="1">
      <c r="A248" s="64">
        <v>1887</v>
      </c>
      <c r="B248" s="4" t="s">
        <v>577</v>
      </c>
      <c r="C248" s="4" t="s">
        <v>588</v>
      </c>
      <c r="D248" s="4" t="s">
        <v>201</v>
      </c>
      <c r="E248" s="64">
        <v>-10</v>
      </c>
      <c r="F248" s="64">
        <v>8</v>
      </c>
      <c r="G248">
        <f t="shared" si="6"/>
        <v>-0.27172245719530819</v>
      </c>
      <c r="H248">
        <f t="shared" si="7"/>
        <v>-0.65588456513873816</v>
      </c>
    </row>
    <row r="249" spans="1:8" hidden="1">
      <c r="A249" s="64">
        <v>1889</v>
      </c>
      <c r="B249" s="4" t="s">
        <v>577</v>
      </c>
      <c r="C249" s="4" t="s">
        <v>425</v>
      </c>
      <c r="D249" s="4" t="s">
        <v>589</v>
      </c>
      <c r="E249" s="64">
        <v>-16</v>
      </c>
      <c r="F249" s="64">
        <v>7</v>
      </c>
      <c r="G249">
        <f t="shared" si="6"/>
        <v>-0.38100572977325109</v>
      </c>
      <c r="H249">
        <f t="shared" si="7"/>
        <v>-0.83786091975811994</v>
      </c>
    </row>
    <row r="250" spans="1:8" hidden="1">
      <c r="A250" s="64">
        <v>1891</v>
      </c>
      <c r="B250" s="4" t="s">
        <v>432</v>
      </c>
      <c r="C250" s="4" t="s">
        <v>590</v>
      </c>
      <c r="D250" s="4" t="s">
        <v>591</v>
      </c>
      <c r="E250" s="64">
        <v>11</v>
      </c>
      <c r="F250" s="64">
        <v>9</v>
      </c>
      <c r="G250">
        <f t="shared" si="6"/>
        <v>0.11076899682749197</v>
      </c>
      <c r="H250">
        <f t="shared" si="7"/>
        <v>-0.4739082105193565</v>
      </c>
    </row>
    <row r="251" spans="1:8" hidden="1">
      <c r="A251" s="64">
        <v>1896</v>
      </c>
      <c r="B251" s="4" t="s">
        <v>592</v>
      </c>
      <c r="C251" s="4" t="s">
        <v>593</v>
      </c>
      <c r="D251" s="4" t="s">
        <v>594</v>
      </c>
      <c r="E251" s="64">
        <v>21</v>
      </c>
      <c r="F251" s="64">
        <v>6</v>
      </c>
      <c r="G251">
        <f t="shared" si="6"/>
        <v>0.29290778445739679</v>
      </c>
      <c r="H251">
        <f t="shared" si="7"/>
        <v>-1.0198372743775017</v>
      </c>
    </row>
    <row r="252" spans="1:8" hidden="1">
      <c r="A252" s="64">
        <v>1897</v>
      </c>
      <c r="B252" s="4" t="s">
        <v>341</v>
      </c>
      <c r="C252" s="4" t="s">
        <v>444</v>
      </c>
      <c r="D252" s="4" t="s">
        <v>595</v>
      </c>
      <c r="E252" s="64">
        <v>7</v>
      </c>
      <c r="F252" s="64">
        <v>10</v>
      </c>
      <c r="G252">
        <f t="shared" si="6"/>
        <v>3.7913481775530035E-2</v>
      </c>
      <c r="H252">
        <f t="shared" si="7"/>
        <v>-0.29193185589997478</v>
      </c>
    </row>
    <row r="253" spans="1:8" hidden="1">
      <c r="A253" s="64">
        <v>1898</v>
      </c>
      <c r="B253" s="4" t="s">
        <v>592</v>
      </c>
      <c r="C253" s="4" t="s">
        <v>264</v>
      </c>
      <c r="D253" s="4" t="s">
        <v>596</v>
      </c>
      <c r="E253" s="64">
        <v>39</v>
      </c>
      <c r="F253" s="64">
        <v>7</v>
      </c>
      <c r="G253">
        <f t="shared" si="6"/>
        <v>0.62075760219122555</v>
      </c>
      <c r="H253">
        <f t="shared" si="7"/>
        <v>-0.83786091975811994</v>
      </c>
    </row>
    <row r="254" spans="1:8" hidden="1">
      <c r="A254" s="64">
        <v>1899</v>
      </c>
      <c r="B254" s="4" t="s">
        <v>535</v>
      </c>
      <c r="C254" s="4" t="s">
        <v>361</v>
      </c>
      <c r="D254" s="4" t="s">
        <v>597</v>
      </c>
      <c r="E254" s="64">
        <v>265</v>
      </c>
      <c r="F254" s="64">
        <v>7</v>
      </c>
      <c r="G254">
        <f t="shared" si="6"/>
        <v>4.7370942026270741</v>
      </c>
      <c r="H254">
        <f t="shared" si="7"/>
        <v>-0.83786091975811994</v>
      </c>
    </row>
    <row r="255" spans="1:8" hidden="1">
      <c r="A255" s="64">
        <v>1900</v>
      </c>
      <c r="B255" s="4" t="s">
        <v>592</v>
      </c>
      <c r="C255" s="4" t="s">
        <v>598</v>
      </c>
      <c r="D255" s="4" t="s">
        <v>599</v>
      </c>
      <c r="E255" s="64">
        <v>38</v>
      </c>
      <c r="F255" s="64">
        <v>7</v>
      </c>
      <c r="G255">
        <f t="shared" si="6"/>
        <v>0.60254372342823503</v>
      </c>
      <c r="H255">
        <f t="shared" si="7"/>
        <v>-0.83786091975811994</v>
      </c>
    </row>
    <row r="256" spans="1:8" hidden="1">
      <c r="A256" s="64">
        <v>1902</v>
      </c>
      <c r="B256" s="4" t="s">
        <v>592</v>
      </c>
      <c r="C256" s="4" t="s">
        <v>312</v>
      </c>
      <c r="D256" s="4" t="s">
        <v>600</v>
      </c>
      <c r="E256" s="64">
        <v>53</v>
      </c>
      <c r="F256" s="64">
        <v>9</v>
      </c>
      <c r="G256">
        <f t="shared" si="6"/>
        <v>0.87575190487309229</v>
      </c>
      <c r="H256">
        <f t="shared" si="7"/>
        <v>-0.4739082105193565</v>
      </c>
    </row>
    <row r="257" spans="1:8" hidden="1">
      <c r="A257" s="64">
        <v>1904</v>
      </c>
      <c r="B257" s="4" t="s">
        <v>592</v>
      </c>
      <c r="C257" s="4" t="s">
        <v>601</v>
      </c>
      <c r="D257" s="4" t="s">
        <v>601</v>
      </c>
      <c r="E257" s="64">
        <v>0</v>
      </c>
      <c r="F257" s="64">
        <v>8</v>
      </c>
      <c r="G257">
        <f t="shared" si="6"/>
        <v>-8.9583669565403354E-2</v>
      </c>
      <c r="H257">
        <f t="shared" si="7"/>
        <v>-0.65588456513873816</v>
      </c>
    </row>
    <row r="258" spans="1:8" hidden="1">
      <c r="A258" s="64">
        <v>1908</v>
      </c>
      <c r="B258" s="4" t="s">
        <v>592</v>
      </c>
      <c r="C258" s="4" t="s">
        <v>354</v>
      </c>
      <c r="D258" s="4" t="s">
        <v>369</v>
      </c>
      <c r="E258" s="64">
        <v>34</v>
      </c>
      <c r="F258" s="64">
        <v>7</v>
      </c>
      <c r="G258">
        <f t="shared" si="6"/>
        <v>0.52968820837627306</v>
      </c>
      <c r="H258">
        <f t="shared" si="7"/>
        <v>-0.83786091975811994</v>
      </c>
    </row>
    <row r="259" spans="1:8" hidden="1">
      <c r="A259" s="64">
        <v>1910</v>
      </c>
      <c r="B259" s="4" t="s">
        <v>592</v>
      </c>
      <c r="C259" s="4" t="s">
        <v>540</v>
      </c>
      <c r="D259" s="4" t="s">
        <v>343</v>
      </c>
      <c r="E259" s="64">
        <v>10</v>
      </c>
      <c r="F259" s="64">
        <v>11</v>
      </c>
      <c r="G259">
        <f t="shared" si="6"/>
        <v>9.2555118064501479E-2</v>
      </c>
      <c r="H259">
        <f t="shared" si="7"/>
        <v>-0.10995550128059307</v>
      </c>
    </row>
    <row r="260" spans="1:8" hidden="1">
      <c r="A260" s="64">
        <v>1914</v>
      </c>
      <c r="B260" s="4" t="s">
        <v>179</v>
      </c>
      <c r="C260" s="4" t="s">
        <v>545</v>
      </c>
      <c r="D260" s="4" t="s">
        <v>602</v>
      </c>
      <c r="E260" s="64">
        <v>5</v>
      </c>
      <c r="F260" s="64">
        <v>9</v>
      </c>
      <c r="G260">
        <f t="shared" si="6"/>
        <v>1.4857242495490664E-3</v>
      </c>
      <c r="H260">
        <f t="shared" si="7"/>
        <v>-0.4739082105193565</v>
      </c>
    </row>
    <row r="261" spans="1:8" hidden="1">
      <c r="A261" s="64">
        <v>1917</v>
      </c>
      <c r="B261" s="4" t="s">
        <v>345</v>
      </c>
      <c r="C261" s="4" t="s">
        <v>218</v>
      </c>
      <c r="D261" s="4" t="s">
        <v>603</v>
      </c>
      <c r="E261" s="64">
        <v>-11</v>
      </c>
      <c r="F261" s="64">
        <v>9</v>
      </c>
      <c r="G261">
        <f t="shared" si="6"/>
        <v>-0.28993633595829871</v>
      </c>
      <c r="H261">
        <f t="shared" si="7"/>
        <v>-0.4739082105193565</v>
      </c>
    </row>
    <row r="262" spans="1:8" hidden="1">
      <c r="A262" s="64">
        <v>1918</v>
      </c>
      <c r="B262" s="4" t="s">
        <v>179</v>
      </c>
      <c r="C262" s="4" t="s">
        <v>604</v>
      </c>
      <c r="D262" s="4" t="s">
        <v>605</v>
      </c>
      <c r="E262" s="64">
        <v>7</v>
      </c>
      <c r="F262" s="64">
        <v>10</v>
      </c>
      <c r="G262">
        <f t="shared" si="6"/>
        <v>3.7913481775530035E-2</v>
      </c>
      <c r="H262">
        <f t="shared" si="7"/>
        <v>-0.29193185589997478</v>
      </c>
    </row>
    <row r="263" spans="1:8" hidden="1">
      <c r="A263" s="64">
        <v>1920</v>
      </c>
      <c r="B263" s="4" t="s">
        <v>179</v>
      </c>
      <c r="C263" s="4" t="s">
        <v>265</v>
      </c>
      <c r="D263" s="4" t="s">
        <v>184</v>
      </c>
      <c r="E263" s="64">
        <v>32</v>
      </c>
      <c r="F263" s="64">
        <v>10</v>
      </c>
      <c r="G263">
        <f t="shared" si="6"/>
        <v>0.49326045085029213</v>
      </c>
      <c r="H263">
        <f t="shared" si="7"/>
        <v>-0.29193185589997478</v>
      </c>
    </row>
    <row r="264" spans="1:8" hidden="1">
      <c r="A264" s="64">
        <v>1921</v>
      </c>
      <c r="B264" s="4" t="s">
        <v>236</v>
      </c>
      <c r="C264" s="4" t="s">
        <v>606</v>
      </c>
      <c r="D264" s="4" t="s">
        <v>607</v>
      </c>
      <c r="E264" s="64">
        <v>10</v>
      </c>
      <c r="F264" s="64">
        <v>10</v>
      </c>
      <c r="G264">
        <f t="shared" ref="G264:G327" si="8">STANDARDIZE(E264,$C$341,$C$342)</f>
        <v>9.2555118064501479E-2</v>
      </c>
      <c r="H264">
        <f t="shared" ref="H264:H327" si="9">STANDARDIZE(F264,$D$341,$D$342)</f>
        <v>-0.29193185589997478</v>
      </c>
    </row>
    <row r="265" spans="1:8" hidden="1">
      <c r="A265" s="64">
        <v>1924</v>
      </c>
      <c r="B265" s="4" t="s">
        <v>179</v>
      </c>
      <c r="C265" s="4" t="s">
        <v>288</v>
      </c>
      <c r="D265" s="4" t="s">
        <v>608</v>
      </c>
      <c r="E265" s="64">
        <v>713</v>
      </c>
      <c r="F265" s="64">
        <v>8</v>
      </c>
      <c r="G265">
        <f t="shared" si="8"/>
        <v>12.896911888446811</v>
      </c>
      <c r="H265">
        <f t="shared" si="9"/>
        <v>-0.65588456513873816</v>
      </c>
    </row>
    <row r="266" spans="1:8" hidden="1">
      <c r="A266" s="64">
        <v>1926</v>
      </c>
      <c r="B266" s="4" t="s">
        <v>179</v>
      </c>
      <c r="C266" s="4" t="s">
        <v>370</v>
      </c>
      <c r="D266" s="4" t="s">
        <v>609</v>
      </c>
      <c r="E266" s="64">
        <v>449</v>
      </c>
      <c r="F266" s="64">
        <v>13</v>
      </c>
      <c r="G266">
        <f t="shared" si="8"/>
        <v>8.0884478950173229</v>
      </c>
      <c r="H266">
        <f t="shared" si="9"/>
        <v>0.25399720795817032</v>
      </c>
    </row>
    <row r="267" spans="1:8" hidden="1">
      <c r="A267" s="64">
        <v>1935</v>
      </c>
      <c r="B267" s="4" t="s">
        <v>496</v>
      </c>
      <c r="C267" s="4" t="s">
        <v>610</v>
      </c>
      <c r="D267" s="4" t="s">
        <v>611</v>
      </c>
      <c r="E267" s="64">
        <v>-16</v>
      </c>
      <c r="F267" s="64">
        <v>9</v>
      </c>
      <c r="G267">
        <f t="shared" si="8"/>
        <v>-0.38100572977325109</v>
      </c>
      <c r="H267">
        <f t="shared" si="9"/>
        <v>-0.4739082105193565</v>
      </c>
    </row>
    <row r="268" spans="1:8" hidden="1">
      <c r="A268" s="64">
        <v>1943</v>
      </c>
      <c r="B268" s="4" t="s">
        <v>247</v>
      </c>
      <c r="C268" s="4" t="s">
        <v>159</v>
      </c>
      <c r="D268" s="4" t="s">
        <v>612</v>
      </c>
      <c r="E268" s="64">
        <v>-2</v>
      </c>
      <c r="F268" s="64">
        <v>15</v>
      </c>
      <c r="G268">
        <f t="shared" si="8"/>
        <v>-0.12601142709138433</v>
      </c>
      <c r="H268">
        <f t="shared" si="9"/>
        <v>0.61794991719693382</v>
      </c>
    </row>
    <row r="269" spans="1:8" hidden="1">
      <c r="A269" s="64">
        <v>1945</v>
      </c>
      <c r="B269" s="4" t="s">
        <v>247</v>
      </c>
      <c r="C269" s="4" t="s">
        <v>465</v>
      </c>
      <c r="D269" s="4" t="s">
        <v>333</v>
      </c>
      <c r="E269" s="64">
        <v>14</v>
      </c>
      <c r="F269" s="64">
        <v>10</v>
      </c>
      <c r="G269">
        <f t="shared" si="8"/>
        <v>0.1654106331164634</v>
      </c>
      <c r="H269">
        <f t="shared" si="9"/>
        <v>-0.29193185589997478</v>
      </c>
    </row>
    <row r="270" spans="1:8" hidden="1">
      <c r="A270" s="64">
        <v>1948</v>
      </c>
      <c r="B270" s="4" t="s">
        <v>291</v>
      </c>
      <c r="C270" s="4" t="s">
        <v>357</v>
      </c>
      <c r="D270" s="4" t="s">
        <v>613</v>
      </c>
      <c r="E270" s="64">
        <v>-5</v>
      </c>
      <c r="F270" s="64">
        <v>8</v>
      </c>
      <c r="G270">
        <f t="shared" si="8"/>
        <v>-0.18065306338035578</v>
      </c>
      <c r="H270">
        <f t="shared" si="9"/>
        <v>-0.65588456513873816</v>
      </c>
    </row>
    <row r="271" spans="1:8" hidden="1">
      <c r="A271" s="64">
        <v>1951</v>
      </c>
      <c r="B271" s="4" t="s">
        <v>614</v>
      </c>
      <c r="C271" s="4" t="s">
        <v>615</v>
      </c>
      <c r="D271" s="4" t="s">
        <v>616</v>
      </c>
      <c r="E271" s="64">
        <v>-1</v>
      </c>
      <c r="F271" s="64">
        <v>9</v>
      </c>
      <c r="G271">
        <f t="shared" si="8"/>
        <v>-0.10779754832839383</v>
      </c>
      <c r="H271">
        <f t="shared" si="9"/>
        <v>-0.4739082105193565</v>
      </c>
    </row>
    <row r="272" spans="1:8" hidden="1">
      <c r="A272" s="64">
        <v>1953</v>
      </c>
      <c r="B272" s="4" t="s">
        <v>614</v>
      </c>
      <c r="C272" s="4" t="s">
        <v>219</v>
      </c>
      <c r="D272" s="4" t="s">
        <v>571</v>
      </c>
      <c r="E272" s="64">
        <v>-11</v>
      </c>
      <c r="F272" s="64">
        <v>14</v>
      </c>
      <c r="G272">
        <f t="shared" si="8"/>
        <v>-0.28993633595829871</v>
      </c>
      <c r="H272">
        <f t="shared" si="9"/>
        <v>0.43597356257755204</v>
      </c>
    </row>
    <row r="273" spans="1:8" hidden="1">
      <c r="A273" s="64">
        <v>1954</v>
      </c>
      <c r="B273" s="4" t="s">
        <v>617</v>
      </c>
      <c r="C273" s="4" t="s">
        <v>618</v>
      </c>
      <c r="D273" s="4" t="s">
        <v>619</v>
      </c>
      <c r="E273" s="64">
        <v>8</v>
      </c>
      <c r="F273" s="64">
        <v>11</v>
      </c>
      <c r="G273">
        <f t="shared" si="8"/>
        <v>5.6127360538520514E-2</v>
      </c>
      <c r="H273">
        <f t="shared" si="9"/>
        <v>-0.10995550128059307</v>
      </c>
    </row>
    <row r="274" spans="1:8" hidden="1">
      <c r="A274" s="64">
        <v>1955</v>
      </c>
      <c r="B274" s="4" t="s">
        <v>614</v>
      </c>
      <c r="C274" s="4" t="s">
        <v>380</v>
      </c>
      <c r="D274" s="4" t="s">
        <v>523</v>
      </c>
      <c r="E274" s="64">
        <v>-4</v>
      </c>
      <c r="F274" s="64">
        <v>12</v>
      </c>
      <c r="G274">
        <f t="shared" si="8"/>
        <v>-0.16243918461736531</v>
      </c>
      <c r="H274">
        <f t="shared" si="9"/>
        <v>7.2020853338788646E-2</v>
      </c>
    </row>
    <row r="275" spans="1:8" hidden="1">
      <c r="A275" s="64">
        <v>1959</v>
      </c>
      <c r="B275" s="4" t="s">
        <v>614</v>
      </c>
      <c r="C275" s="4" t="s">
        <v>551</v>
      </c>
      <c r="D275" s="4" t="s">
        <v>596</v>
      </c>
      <c r="E275" s="64">
        <v>-14</v>
      </c>
      <c r="F275" s="64">
        <v>11</v>
      </c>
      <c r="G275">
        <f t="shared" si="8"/>
        <v>-0.34457797224727016</v>
      </c>
      <c r="H275">
        <f t="shared" si="9"/>
        <v>-0.10995550128059307</v>
      </c>
    </row>
    <row r="276" spans="1:8" hidden="1">
      <c r="A276" s="64">
        <v>1960</v>
      </c>
      <c r="B276" s="4" t="s">
        <v>274</v>
      </c>
      <c r="C276" s="4" t="s">
        <v>403</v>
      </c>
      <c r="D276" s="4" t="s">
        <v>252</v>
      </c>
      <c r="E276" s="64">
        <v>-7</v>
      </c>
      <c r="F276" s="64">
        <v>16</v>
      </c>
      <c r="G276">
        <f t="shared" si="8"/>
        <v>-0.21708082090633676</v>
      </c>
      <c r="H276">
        <f t="shared" si="9"/>
        <v>0.79992627181631548</v>
      </c>
    </row>
    <row r="277" spans="1:8" hidden="1">
      <c r="A277" s="64">
        <v>1961</v>
      </c>
      <c r="B277" s="4" t="s">
        <v>614</v>
      </c>
      <c r="C277" s="4" t="s">
        <v>620</v>
      </c>
      <c r="D277" s="4" t="s">
        <v>281</v>
      </c>
      <c r="E277" s="64">
        <v>-4</v>
      </c>
      <c r="F277" s="64">
        <v>8</v>
      </c>
      <c r="G277">
        <f t="shared" si="8"/>
        <v>-0.16243918461736531</v>
      </c>
      <c r="H277">
        <f t="shared" si="9"/>
        <v>-0.65588456513873816</v>
      </c>
    </row>
    <row r="278" spans="1:8" hidden="1">
      <c r="A278" s="64">
        <v>1962</v>
      </c>
      <c r="B278" s="4" t="s">
        <v>267</v>
      </c>
      <c r="C278" s="4" t="s">
        <v>318</v>
      </c>
      <c r="D278" s="4" t="s">
        <v>621</v>
      </c>
      <c r="E278" s="64">
        <v>14</v>
      </c>
      <c r="F278" s="64">
        <v>8</v>
      </c>
      <c r="G278">
        <f t="shared" si="8"/>
        <v>0.1654106331164634</v>
      </c>
      <c r="H278">
        <f t="shared" si="9"/>
        <v>-0.65588456513873816</v>
      </c>
    </row>
    <row r="279" spans="1:8" hidden="1">
      <c r="A279" s="64">
        <v>1964</v>
      </c>
      <c r="B279" s="4" t="s">
        <v>622</v>
      </c>
      <c r="C279" s="4" t="s">
        <v>585</v>
      </c>
      <c r="D279" s="4" t="s">
        <v>349</v>
      </c>
      <c r="E279" s="64">
        <v>13</v>
      </c>
      <c r="F279" s="64">
        <v>11</v>
      </c>
      <c r="G279">
        <f t="shared" si="8"/>
        <v>0.14719675435347293</v>
      </c>
      <c r="H279">
        <f t="shared" si="9"/>
        <v>-0.10995550128059307</v>
      </c>
    </row>
    <row r="280" spans="1:8" hidden="1">
      <c r="A280" s="64">
        <v>1965</v>
      </c>
      <c r="B280" s="4" t="s">
        <v>614</v>
      </c>
      <c r="C280" s="4" t="s">
        <v>623</v>
      </c>
      <c r="D280" s="4" t="s">
        <v>624</v>
      </c>
      <c r="E280" s="64">
        <v>-2</v>
      </c>
      <c r="F280" s="64">
        <v>11</v>
      </c>
      <c r="G280">
        <f t="shared" si="8"/>
        <v>-0.12601142709138433</v>
      </c>
      <c r="H280">
        <f t="shared" si="9"/>
        <v>-0.10995550128059307</v>
      </c>
    </row>
    <row r="281" spans="1:8" hidden="1">
      <c r="A281" s="64">
        <v>1967</v>
      </c>
      <c r="B281" s="4" t="s">
        <v>614</v>
      </c>
      <c r="C281" s="4" t="s">
        <v>625</v>
      </c>
      <c r="D281" s="4" t="s">
        <v>313</v>
      </c>
      <c r="E281" s="64">
        <v>2</v>
      </c>
      <c r="F281" s="64">
        <v>13</v>
      </c>
      <c r="G281">
        <f t="shared" si="8"/>
        <v>-5.3155912039422382E-2</v>
      </c>
      <c r="H281">
        <f t="shared" si="9"/>
        <v>0.25399720795817032</v>
      </c>
    </row>
    <row r="282" spans="1:8" hidden="1">
      <c r="A282" s="64">
        <v>1969</v>
      </c>
      <c r="B282" s="4" t="s">
        <v>614</v>
      </c>
      <c r="C282" s="4" t="s">
        <v>323</v>
      </c>
      <c r="D282" s="4" t="s">
        <v>626</v>
      </c>
      <c r="E282" s="64">
        <v>-9</v>
      </c>
      <c r="F282" s="64">
        <v>8</v>
      </c>
      <c r="G282">
        <f t="shared" si="8"/>
        <v>-0.25350857843231772</v>
      </c>
      <c r="H282">
        <f t="shared" si="9"/>
        <v>-0.65588456513873816</v>
      </c>
    </row>
    <row r="283" spans="1:8" hidden="1">
      <c r="A283" s="64">
        <v>1971</v>
      </c>
      <c r="B283" s="4" t="s">
        <v>614</v>
      </c>
      <c r="C283" s="4" t="s">
        <v>177</v>
      </c>
      <c r="D283" s="4" t="s">
        <v>446</v>
      </c>
      <c r="E283" s="64">
        <v>8</v>
      </c>
      <c r="F283" s="64">
        <v>11</v>
      </c>
      <c r="G283">
        <f t="shared" si="8"/>
        <v>5.6127360538520514E-2</v>
      </c>
      <c r="H283">
        <f t="shared" si="9"/>
        <v>-0.10995550128059307</v>
      </c>
    </row>
    <row r="284" spans="1:8" hidden="1">
      <c r="A284" s="64">
        <v>1973</v>
      </c>
      <c r="B284" s="4" t="s">
        <v>614</v>
      </c>
      <c r="C284" s="4" t="s">
        <v>480</v>
      </c>
      <c r="D284" s="4" t="s">
        <v>627</v>
      </c>
      <c r="E284" s="64">
        <v>-4</v>
      </c>
      <c r="F284" s="64">
        <v>13</v>
      </c>
      <c r="G284">
        <f t="shared" si="8"/>
        <v>-0.16243918461736531</v>
      </c>
      <c r="H284">
        <f t="shared" si="9"/>
        <v>0.25399720795817032</v>
      </c>
    </row>
    <row r="285" spans="1:8" hidden="1">
      <c r="A285" s="64">
        <v>1975</v>
      </c>
      <c r="B285" s="4" t="s">
        <v>614</v>
      </c>
      <c r="C285" s="4" t="s">
        <v>628</v>
      </c>
      <c r="D285" s="4" t="s">
        <v>327</v>
      </c>
      <c r="E285" s="64">
        <v>-10</v>
      </c>
      <c r="F285" s="64">
        <v>10</v>
      </c>
      <c r="G285">
        <f t="shared" si="8"/>
        <v>-0.27172245719530819</v>
      </c>
      <c r="H285">
        <f t="shared" si="9"/>
        <v>-0.29193185589997478</v>
      </c>
    </row>
    <row r="286" spans="1:8" hidden="1">
      <c r="A286" s="64">
        <v>1978</v>
      </c>
      <c r="B286" s="4" t="s">
        <v>269</v>
      </c>
      <c r="C286" s="4" t="s">
        <v>629</v>
      </c>
      <c r="D286" s="4" t="s">
        <v>383</v>
      </c>
      <c r="E286" s="64">
        <v>-1</v>
      </c>
      <c r="F286" s="64">
        <v>21</v>
      </c>
      <c r="G286">
        <f t="shared" si="8"/>
        <v>-0.10779754832839383</v>
      </c>
      <c r="H286">
        <f t="shared" si="9"/>
        <v>1.709808044913224</v>
      </c>
    </row>
    <row r="287" spans="1:8" hidden="1">
      <c r="A287" s="64">
        <v>1982</v>
      </c>
      <c r="B287" s="4" t="s">
        <v>185</v>
      </c>
      <c r="C287" s="4" t="s">
        <v>630</v>
      </c>
      <c r="D287" s="4" t="s">
        <v>249</v>
      </c>
      <c r="E287" s="64">
        <v>27</v>
      </c>
      <c r="F287" s="64">
        <v>16</v>
      </c>
      <c r="G287">
        <f t="shared" si="8"/>
        <v>0.40219105703533969</v>
      </c>
      <c r="H287">
        <f t="shared" si="9"/>
        <v>0.79992627181631548</v>
      </c>
    </row>
    <row r="288" spans="1:8" hidden="1">
      <c r="A288" s="64">
        <v>1984</v>
      </c>
      <c r="B288" s="4" t="s">
        <v>185</v>
      </c>
      <c r="C288" s="4" t="s">
        <v>485</v>
      </c>
      <c r="D288" s="4" t="s">
        <v>631</v>
      </c>
      <c r="E288" s="64">
        <v>-8</v>
      </c>
      <c r="F288" s="64">
        <v>12</v>
      </c>
      <c r="G288">
        <f t="shared" si="8"/>
        <v>-0.23529469966932723</v>
      </c>
      <c r="H288">
        <f t="shared" si="9"/>
        <v>7.2020853338788646E-2</v>
      </c>
    </row>
    <row r="289" spans="1:8" hidden="1">
      <c r="A289" s="64">
        <v>1988</v>
      </c>
      <c r="B289" s="4" t="s">
        <v>185</v>
      </c>
      <c r="C289" s="4" t="s">
        <v>375</v>
      </c>
      <c r="D289" s="4" t="s">
        <v>312</v>
      </c>
      <c r="E289" s="64">
        <v>8</v>
      </c>
      <c r="F289" s="64">
        <v>11</v>
      </c>
      <c r="G289">
        <f t="shared" si="8"/>
        <v>5.6127360538520514E-2</v>
      </c>
      <c r="H289">
        <f t="shared" si="9"/>
        <v>-0.10995550128059307</v>
      </c>
    </row>
    <row r="290" spans="1:8" hidden="1">
      <c r="A290" s="64">
        <v>1989</v>
      </c>
      <c r="B290" s="4" t="s">
        <v>448</v>
      </c>
      <c r="C290" s="4" t="s">
        <v>545</v>
      </c>
      <c r="D290" s="4" t="s">
        <v>482</v>
      </c>
      <c r="E290" s="64">
        <v>-17</v>
      </c>
      <c r="F290" s="64">
        <v>11</v>
      </c>
      <c r="G290">
        <f t="shared" si="8"/>
        <v>-0.39921960853624161</v>
      </c>
      <c r="H290">
        <f t="shared" si="9"/>
        <v>-0.10995550128059307</v>
      </c>
    </row>
    <row r="291" spans="1:8" hidden="1">
      <c r="A291" s="64">
        <v>1990</v>
      </c>
      <c r="B291" s="4" t="s">
        <v>185</v>
      </c>
      <c r="C291" s="4" t="s">
        <v>632</v>
      </c>
      <c r="D291" s="4" t="s">
        <v>633</v>
      </c>
      <c r="E291" s="64">
        <v>2</v>
      </c>
      <c r="F291" s="64">
        <v>23</v>
      </c>
      <c r="G291">
        <f t="shared" si="8"/>
        <v>-5.3155912039422382E-2</v>
      </c>
      <c r="H291">
        <f t="shared" si="9"/>
        <v>2.0737607541519876</v>
      </c>
    </row>
    <row r="292" spans="1:8" hidden="1">
      <c r="A292" s="64">
        <v>1991</v>
      </c>
      <c r="B292" s="4" t="s">
        <v>199</v>
      </c>
      <c r="C292" s="4" t="s">
        <v>248</v>
      </c>
      <c r="D292" s="4" t="s">
        <v>256</v>
      </c>
      <c r="E292" s="64">
        <v>-11</v>
      </c>
      <c r="F292" s="64">
        <v>12</v>
      </c>
      <c r="G292">
        <f t="shared" si="8"/>
        <v>-0.28993633595829871</v>
      </c>
      <c r="H292">
        <f t="shared" si="9"/>
        <v>7.2020853338788646E-2</v>
      </c>
    </row>
    <row r="293" spans="1:8" hidden="1">
      <c r="A293" s="64">
        <v>1992</v>
      </c>
      <c r="B293" s="4" t="s">
        <v>338</v>
      </c>
      <c r="C293" s="4" t="s">
        <v>634</v>
      </c>
      <c r="D293" s="4" t="s">
        <v>361</v>
      </c>
      <c r="E293" s="64">
        <v>4</v>
      </c>
      <c r="F293" s="64">
        <v>20</v>
      </c>
      <c r="G293">
        <f t="shared" si="8"/>
        <v>-1.6728154513441416E-2</v>
      </c>
      <c r="H293">
        <f t="shared" si="9"/>
        <v>1.5278316902938422</v>
      </c>
    </row>
    <row r="294" spans="1:8" hidden="1">
      <c r="A294" s="64">
        <v>1994</v>
      </c>
      <c r="B294" s="4" t="s">
        <v>185</v>
      </c>
      <c r="C294" s="4" t="s">
        <v>635</v>
      </c>
      <c r="D294" s="4" t="s">
        <v>636</v>
      </c>
      <c r="E294" s="64">
        <v>-9</v>
      </c>
      <c r="F294" s="64">
        <v>14</v>
      </c>
      <c r="G294">
        <f t="shared" si="8"/>
        <v>-0.25350857843231772</v>
      </c>
      <c r="H294">
        <f t="shared" si="9"/>
        <v>0.43597356257755204</v>
      </c>
    </row>
    <row r="295" spans="1:8" hidden="1">
      <c r="A295" s="64">
        <v>1995</v>
      </c>
      <c r="B295" s="4" t="s">
        <v>345</v>
      </c>
      <c r="C295" s="4" t="s">
        <v>637</v>
      </c>
      <c r="D295" s="4" t="s">
        <v>282</v>
      </c>
      <c r="E295" s="64">
        <v>-1</v>
      </c>
      <c r="F295" s="64">
        <v>8</v>
      </c>
      <c r="G295">
        <f t="shared" si="8"/>
        <v>-0.10779754832839383</v>
      </c>
      <c r="H295">
        <f t="shared" si="9"/>
        <v>-0.65588456513873816</v>
      </c>
    </row>
    <row r="296" spans="1:8" hidden="1">
      <c r="A296" s="64">
        <v>1996</v>
      </c>
      <c r="B296" s="4" t="s">
        <v>185</v>
      </c>
      <c r="C296" s="4" t="s">
        <v>354</v>
      </c>
      <c r="D296" s="4" t="s">
        <v>638</v>
      </c>
      <c r="E296" s="64">
        <v>13</v>
      </c>
      <c r="F296" s="64">
        <v>17</v>
      </c>
      <c r="G296">
        <f t="shared" si="8"/>
        <v>0.14719675435347293</v>
      </c>
      <c r="H296">
        <f t="shared" si="9"/>
        <v>0.98190262643569715</v>
      </c>
    </row>
    <row r="297" spans="1:8" hidden="1">
      <c r="A297" s="64">
        <v>1998</v>
      </c>
      <c r="B297" s="4" t="s">
        <v>185</v>
      </c>
      <c r="C297" s="4" t="s">
        <v>639</v>
      </c>
      <c r="D297" s="4" t="s">
        <v>383</v>
      </c>
      <c r="E297" s="64">
        <v>-12</v>
      </c>
      <c r="F297" s="64">
        <v>10</v>
      </c>
      <c r="G297">
        <f t="shared" si="8"/>
        <v>-0.30815021472128917</v>
      </c>
      <c r="H297">
        <f t="shared" si="9"/>
        <v>-0.29193185589997478</v>
      </c>
    </row>
    <row r="298" spans="1:8" hidden="1">
      <c r="A298" s="64">
        <v>1999</v>
      </c>
      <c r="B298" s="4" t="s">
        <v>294</v>
      </c>
      <c r="C298" s="4" t="s">
        <v>248</v>
      </c>
      <c r="D298" s="4" t="s">
        <v>640</v>
      </c>
      <c r="E298" s="64">
        <v>19</v>
      </c>
      <c r="F298" s="64">
        <v>9</v>
      </c>
      <c r="G298">
        <f t="shared" si="8"/>
        <v>0.25648002693141581</v>
      </c>
      <c r="H298">
        <f t="shared" si="9"/>
        <v>-0.4739082105193565</v>
      </c>
    </row>
    <row r="299" spans="1:8" hidden="1">
      <c r="A299" s="64">
        <v>2007</v>
      </c>
      <c r="B299" s="4" t="s">
        <v>199</v>
      </c>
      <c r="C299" s="4" t="s">
        <v>403</v>
      </c>
      <c r="D299" s="4" t="s">
        <v>252</v>
      </c>
      <c r="E299" s="64">
        <v>-7</v>
      </c>
      <c r="F299" s="64">
        <v>18</v>
      </c>
      <c r="G299">
        <f t="shared" si="8"/>
        <v>-0.21708082090633676</v>
      </c>
      <c r="H299">
        <f t="shared" si="9"/>
        <v>1.1638789810550789</v>
      </c>
    </row>
    <row r="300" spans="1:8" hidden="1">
      <c r="A300" s="64">
        <v>2008</v>
      </c>
      <c r="B300" s="4" t="s">
        <v>356</v>
      </c>
      <c r="C300" s="4" t="s">
        <v>212</v>
      </c>
      <c r="D300" s="4" t="s">
        <v>566</v>
      </c>
      <c r="E300" s="64">
        <v>8</v>
      </c>
      <c r="F300" s="64">
        <v>14</v>
      </c>
      <c r="G300">
        <f t="shared" si="8"/>
        <v>5.6127360538520514E-2</v>
      </c>
      <c r="H300">
        <f t="shared" si="9"/>
        <v>0.43597356257755204</v>
      </c>
    </row>
    <row r="301" spans="1:8" hidden="1">
      <c r="A301" s="64">
        <v>2009</v>
      </c>
      <c r="B301" s="4" t="s">
        <v>199</v>
      </c>
      <c r="C301" s="4" t="s">
        <v>494</v>
      </c>
      <c r="D301" s="4" t="s">
        <v>641</v>
      </c>
      <c r="E301" s="64">
        <v>260</v>
      </c>
      <c r="F301" s="64">
        <v>12</v>
      </c>
      <c r="G301">
        <f t="shared" si="8"/>
        <v>4.6460248088121228</v>
      </c>
      <c r="H301">
        <f t="shared" si="9"/>
        <v>7.2020853338788646E-2</v>
      </c>
    </row>
    <row r="302" spans="1:8" hidden="1">
      <c r="A302" s="64">
        <v>2011</v>
      </c>
      <c r="B302" s="4" t="s">
        <v>199</v>
      </c>
      <c r="C302" s="4" t="s">
        <v>642</v>
      </c>
      <c r="D302" s="4" t="s">
        <v>604</v>
      </c>
      <c r="E302" s="64">
        <v>-19</v>
      </c>
      <c r="F302" s="64">
        <v>8</v>
      </c>
      <c r="G302">
        <f t="shared" si="8"/>
        <v>-0.43564736606222254</v>
      </c>
      <c r="H302">
        <f t="shared" si="9"/>
        <v>-0.65588456513873816</v>
      </c>
    </row>
    <row r="303" spans="1:8" hidden="1">
      <c r="A303" s="64">
        <v>2014</v>
      </c>
      <c r="B303" s="4" t="s">
        <v>643</v>
      </c>
      <c r="C303" s="4" t="s">
        <v>352</v>
      </c>
      <c r="D303" s="4" t="s">
        <v>364</v>
      </c>
      <c r="E303" s="64">
        <v>15</v>
      </c>
      <c r="F303" s="64">
        <v>8</v>
      </c>
      <c r="G303">
        <f t="shared" si="8"/>
        <v>0.18362451187945389</v>
      </c>
      <c r="H303">
        <f t="shared" si="9"/>
        <v>-0.65588456513873816</v>
      </c>
    </row>
    <row r="304" spans="1:8" hidden="1">
      <c r="A304" s="64">
        <v>2015</v>
      </c>
      <c r="B304" s="4" t="s">
        <v>199</v>
      </c>
      <c r="C304" s="4" t="s">
        <v>201</v>
      </c>
      <c r="D304" s="4" t="s">
        <v>644</v>
      </c>
      <c r="E304" s="64">
        <v>-20</v>
      </c>
      <c r="F304" s="64">
        <v>9</v>
      </c>
      <c r="G304">
        <f t="shared" si="8"/>
        <v>-0.45386124482521306</v>
      </c>
      <c r="H304">
        <f t="shared" si="9"/>
        <v>-0.4739082105193565</v>
      </c>
    </row>
    <row r="305" spans="1:8" hidden="1">
      <c r="A305" s="64">
        <v>2016</v>
      </c>
      <c r="B305" s="4" t="s">
        <v>294</v>
      </c>
      <c r="C305" s="4" t="s">
        <v>606</v>
      </c>
      <c r="D305" s="4" t="s">
        <v>588</v>
      </c>
      <c r="E305" s="64">
        <v>146</v>
      </c>
      <c r="F305" s="64">
        <v>8</v>
      </c>
      <c r="G305">
        <f t="shared" si="8"/>
        <v>2.5696426298312072</v>
      </c>
      <c r="H305">
        <f t="shared" si="9"/>
        <v>-0.65588456513873816</v>
      </c>
    </row>
    <row r="306" spans="1:8" hidden="1">
      <c r="A306" s="64">
        <v>2017</v>
      </c>
      <c r="B306" s="4" t="s">
        <v>199</v>
      </c>
      <c r="C306" s="4" t="s">
        <v>474</v>
      </c>
      <c r="D306" s="4" t="s">
        <v>625</v>
      </c>
      <c r="E306" s="64">
        <v>-34</v>
      </c>
      <c r="F306" s="64">
        <v>7</v>
      </c>
      <c r="G306">
        <f t="shared" si="8"/>
        <v>-0.7088555475070798</v>
      </c>
      <c r="H306">
        <f t="shared" si="9"/>
        <v>-0.83786091975811994</v>
      </c>
    </row>
    <row r="307" spans="1:8" hidden="1">
      <c r="A307" s="64">
        <v>2019</v>
      </c>
      <c r="B307" s="4" t="s">
        <v>199</v>
      </c>
      <c r="C307" s="4" t="s">
        <v>645</v>
      </c>
      <c r="D307" s="4" t="s">
        <v>467</v>
      </c>
      <c r="E307" s="64">
        <v>-17</v>
      </c>
      <c r="F307" s="64">
        <v>11</v>
      </c>
      <c r="G307">
        <f t="shared" si="8"/>
        <v>-0.39921960853624161</v>
      </c>
      <c r="H307">
        <f t="shared" si="9"/>
        <v>-0.10995550128059307</v>
      </c>
    </row>
    <row r="308" spans="1:8" hidden="1">
      <c r="A308" s="64">
        <v>2028</v>
      </c>
      <c r="B308" s="4" t="s">
        <v>390</v>
      </c>
      <c r="C308" s="4" t="s">
        <v>578</v>
      </c>
      <c r="D308" s="4" t="s">
        <v>256</v>
      </c>
      <c r="E308" s="64">
        <v>-1</v>
      </c>
      <c r="F308" s="64">
        <v>14</v>
      </c>
      <c r="G308">
        <f t="shared" si="8"/>
        <v>-0.10779754832839383</v>
      </c>
      <c r="H308">
        <f t="shared" si="9"/>
        <v>0.43597356257755204</v>
      </c>
    </row>
    <row r="309" spans="1:8" hidden="1">
      <c r="A309" s="64">
        <v>2030</v>
      </c>
      <c r="B309" s="4" t="s">
        <v>390</v>
      </c>
      <c r="C309" s="4" t="s">
        <v>646</v>
      </c>
      <c r="D309" s="4" t="s">
        <v>647</v>
      </c>
      <c r="E309" s="64">
        <v>14</v>
      </c>
      <c r="F309" s="64">
        <v>15</v>
      </c>
      <c r="G309">
        <f t="shared" si="8"/>
        <v>0.1654106331164634</v>
      </c>
      <c r="H309">
        <f t="shared" si="9"/>
        <v>0.61794991719693382</v>
      </c>
    </row>
    <row r="310" spans="1:8" hidden="1">
      <c r="A310" s="64">
        <v>2032</v>
      </c>
      <c r="B310" s="4" t="s">
        <v>390</v>
      </c>
      <c r="C310" s="4" t="s">
        <v>648</v>
      </c>
      <c r="D310" s="4" t="s">
        <v>649</v>
      </c>
      <c r="E310" s="64">
        <v>-8</v>
      </c>
      <c r="F310" s="64">
        <v>10</v>
      </c>
      <c r="G310">
        <f t="shared" si="8"/>
        <v>-0.23529469966932723</v>
      </c>
      <c r="H310">
        <f t="shared" si="9"/>
        <v>-0.29193185589997478</v>
      </c>
    </row>
    <row r="311" spans="1:8" hidden="1">
      <c r="A311" s="64">
        <v>2034</v>
      </c>
      <c r="B311" s="4" t="s">
        <v>390</v>
      </c>
      <c r="C311" s="4" t="s">
        <v>650</v>
      </c>
      <c r="D311" s="4" t="s">
        <v>651</v>
      </c>
      <c r="E311" s="64">
        <v>-6</v>
      </c>
      <c r="F311" s="64">
        <v>6</v>
      </c>
      <c r="G311">
        <f t="shared" si="8"/>
        <v>-0.19886694214334627</v>
      </c>
      <c r="H311">
        <f t="shared" si="9"/>
        <v>-1.0198372743775017</v>
      </c>
    </row>
    <row r="312" spans="1:8" hidden="1">
      <c r="A312" s="64">
        <v>2036</v>
      </c>
      <c r="B312" s="4" t="s">
        <v>390</v>
      </c>
      <c r="C312" s="4" t="s">
        <v>652</v>
      </c>
      <c r="D312" s="4" t="s">
        <v>653</v>
      </c>
      <c r="E312" s="64">
        <v>-12</v>
      </c>
      <c r="F312" s="64">
        <v>9</v>
      </c>
      <c r="G312">
        <f t="shared" si="8"/>
        <v>-0.30815021472128917</v>
      </c>
      <c r="H312">
        <f t="shared" si="9"/>
        <v>-0.4739082105193565</v>
      </c>
    </row>
    <row r="313" spans="1:8" hidden="1">
      <c r="A313" s="64">
        <v>2042</v>
      </c>
      <c r="B313" s="4" t="s">
        <v>390</v>
      </c>
      <c r="C313" s="4" t="s">
        <v>654</v>
      </c>
      <c r="D313" s="4" t="s">
        <v>655</v>
      </c>
      <c r="E313" s="64">
        <v>-9</v>
      </c>
      <c r="F313" s="64">
        <v>6</v>
      </c>
      <c r="G313">
        <f t="shared" si="8"/>
        <v>-0.25350857843231772</v>
      </c>
      <c r="H313">
        <f t="shared" si="9"/>
        <v>-1.0198372743775017</v>
      </c>
    </row>
    <row r="314" spans="1:8" hidden="1">
      <c r="A314" s="64">
        <v>2044</v>
      </c>
      <c r="B314" s="4" t="s">
        <v>390</v>
      </c>
      <c r="C314" s="4" t="s">
        <v>323</v>
      </c>
      <c r="D314" s="4" t="s">
        <v>194</v>
      </c>
      <c r="E314" s="64">
        <v>-11</v>
      </c>
      <c r="F314" s="64">
        <v>8</v>
      </c>
      <c r="G314">
        <f t="shared" si="8"/>
        <v>-0.28993633595829871</v>
      </c>
      <c r="H314">
        <f t="shared" si="9"/>
        <v>-0.65588456513873816</v>
      </c>
    </row>
    <row r="315" spans="1:8" hidden="1">
      <c r="A315" s="64">
        <v>2046</v>
      </c>
      <c r="B315" s="4" t="s">
        <v>390</v>
      </c>
      <c r="C315" s="4" t="s">
        <v>656</v>
      </c>
      <c r="D315" s="4" t="s">
        <v>355</v>
      </c>
      <c r="E315" s="64">
        <v>-20</v>
      </c>
      <c r="F315" s="64">
        <v>10</v>
      </c>
      <c r="G315">
        <f t="shared" si="8"/>
        <v>-0.45386124482521306</v>
      </c>
      <c r="H315">
        <f t="shared" si="9"/>
        <v>-0.29193185589997478</v>
      </c>
    </row>
    <row r="316" spans="1:8" hidden="1">
      <c r="A316" s="64">
        <v>2048</v>
      </c>
      <c r="B316" s="4" t="s">
        <v>390</v>
      </c>
      <c r="C316" s="4" t="s">
        <v>590</v>
      </c>
      <c r="D316" s="4" t="s">
        <v>431</v>
      </c>
      <c r="E316" s="64">
        <v>-9</v>
      </c>
      <c r="F316" s="64">
        <v>13</v>
      </c>
      <c r="G316">
        <f t="shared" si="8"/>
        <v>-0.25350857843231772</v>
      </c>
      <c r="H316">
        <f t="shared" si="9"/>
        <v>0.25399720795817032</v>
      </c>
    </row>
    <row r="317" spans="1:8" hidden="1">
      <c r="A317" s="64">
        <v>2050</v>
      </c>
      <c r="B317" s="4" t="s">
        <v>390</v>
      </c>
      <c r="C317" s="4" t="s">
        <v>277</v>
      </c>
      <c r="D317" s="4" t="s">
        <v>657</v>
      </c>
      <c r="E317" s="64">
        <v>-4</v>
      </c>
      <c r="F317" s="64">
        <v>20</v>
      </c>
      <c r="G317">
        <f t="shared" si="8"/>
        <v>-0.16243918461736531</v>
      </c>
      <c r="H317">
        <f t="shared" si="9"/>
        <v>1.5278316902938422</v>
      </c>
    </row>
    <row r="318" spans="1:8" hidden="1">
      <c r="A318" s="64">
        <v>2054</v>
      </c>
      <c r="B318" s="4" t="s">
        <v>307</v>
      </c>
      <c r="C318" s="4" t="s">
        <v>658</v>
      </c>
      <c r="D318" s="4" t="s">
        <v>659</v>
      </c>
      <c r="E318" s="64">
        <v>-12</v>
      </c>
      <c r="F318" s="64">
        <v>7</v>
      </c>
      <c r="G318">
        <f t="shared" si="8"/>
        <v>-0.30815021472128917</v>
      </c>
      <c r="H318">
        <f t="shared" si="9"/>
        <v>-0.83786091975811994</v>
      </c>
    </row>
    <row r="319" spans="1:8" hidden="1">
      <c r="A319" s="64">
        <v>2056</v>
      </c>
      <c r="B319" s="4" t="s">
        <v>307</v>
      </c>
      <c r="C319" s="4" t="s">
        <v>660</v>
      </c>
      <c r="D319" s="4" t="s">
        <v>661</v>
      </c>
      <c r="E319" s="64">
        <v>-11</v>
      </c>
      <c r="F319" s="64">
        <v>5</v>
      </c>
      <c r="G319">
        <f t="shared" si="8"/>
        <v>-0.28993633595829871</v>
      </c>
      <c r="H319">
        <f t="shared" si="9"/>
        <v>-1.2018136289968833</v>
      </c>
    </row>
    <row r="320" spans="1:8" hidden="1">
      <c r="A320" s="64">
        <v>2060</v>
      </c>
      <c r="B320" s="4" t="s">
        <v>307</v>
      </c>
      <c r="C320" s="4" t="s">
        <v>403</v>
      </c>
      <c r="D320" s="4" t="s">
        <v>662</v>
      </c>
      <c r="E320" s="64">
        <v>1</v>
      </c>
      <c r="F320" s="64">
        <v>18</v>
      </c>
      <c r="G320">
        <f t="shared" si="8"/>
        <v>-7.1369790802412875E-2</v>
      </c>
      <c r="H320">
        <f t="shared" si="9"/>
        <v>1.1638789810550789</v>
      </c>
    </row>
    <row r="321" spans="1:8" hidden="1">
      <c r="A321" s="64">
        <v>2062</v>
      </c>
      <c r="B321" s="4" t="s">
        <v>307</v>
      </c>
      <c r="C321" s="4" t="s">
        <v>663</v>
      </c>
      <c r="D321" s="4" t="s">
        <v>664</v>
      </c>
      <c r="E321" s="64">
        <v>-5</v>
      </c>
      <c r="F321" s="64">
        <v>9</v>
      </c>
      <c r="G321">
        <f t="shared" si="8"/>
        <v>-0.18065306338035578</v>
      </c>
      <c r="H321">
        <f t="shared" si="9"/>
        <v>-0.4739082105193565</v>
      </c>
    </row>
    <row r="322" spans="1:8" hidden="1">
      <c r="A322" s="64">
        <v>2064</v>
      </c>
      <c r="B322" s="4" t="s">
        <v>307</v>
      </c>
      <c r="C322" s="4" t="s">
        <v>349</v>
      </c>
      <c r="D322" s="4" t="s">
        <v>665</v>
      </c>
      <c r="E322" s="64">
        <v>1</v>
      </c>
      <c r="F322" s="64">
        <v>13</v>
      </c>
      <c r="G322">
        <f t="shared" si="8"/>
        <v>-7.1369790802412875E-2</v>
      </c>
      <c r="H322">
        <f t="shared" si="9"/>
        <v>0.25399720795817032</v>
      </c>
    </row>
    <row r="323" spans="1:8" hidden="1">
      <c r="A323" s="64">
        <v>2066</v>
      </c>
      <c r="B323" s="4" t="s">
        <v>307</v>
      </c>
      <c r="C323" s="4" t="s">
        <v>666</v>
      </c>
      <c r="D323" s="4" t="s">
        <v>215</v>
      </c>
      <c r="E323" s="64">
        <v>-15</v>
      </c>
      <c r="F323" s="64">
        <v>12</v>
      </c>
      <c r="G323">
        <f t="shared" si="8"/>
        <v>-0.36279185101026062</v>
      </c>
      <c r="H323">
        <f t="shared" si="9"/>
        <v>7.2020853338788646E-2</v>
      </c>
    </row>
    <row r="324" spans="1:8" hidden="1">
      <c r="A324" s="64">
        <v>2068</v>
      </c>
      <c r="B324" s="4" t="s">
        <v>307</v>
      </c>
      <c r="C324" s="4" t="s">
        <v>437</v>
      </c>
      <c r="D324" s="4" t="s">
        <v>625</v>
      </c>
      <c r="E324" s="64">
        <v>-9</v>
      </c>
      <c r="F324" s="64">
        <v>10</v>
      </c>
      <c r="G324">
        <f t="shared" si="8"/>
        <v>-0.25350857843231772</v>
      </c>
      <c r="H324">
        <f t="shared" si="9"/>
        <v>-0.29193185589997478</v>
      </c>
    </row>
    <row r="325" spans="1:8" hidden="1">
      <c r="A325" s="64">
        <v>2072</v>
      </c>
      <c r="B325" s="4" t="s">
        <v>307</v>
      </c>
      <c r="C325" s="4" t="s">
        <v>346</v>
      </c>
      <c r="D325" s="4" t="s">
        <v>400</v>
      </c>
      <c r="E325" s="64">
        <v>1</v>
      </c>
      <c r="F325" s="64">
        <v>29</v>
      </c>
      <c r="G325">
        <f t="shared" si="8"/>
        <v>-7.1369790802412875E-2</v>
      </c>
      <c r="H325">
        <f t="shared" si="9"/>
        <v>3.1656188818682778</v>
      </c>
    </row>
    <row r="326" spans="1:8" hidden="1">
      <c r="A326" s="64">
        <v>2074</v>
      </c>
      <c r="B326" s="4" t="s">
        <v>307</v>
      </c>
      <c r="C326" s="4" t="s">
        <v>401</v>
      </c>
      <c r="D326" s="4" t="s">
        <v>481</v>
      </c>
      <c r="E326" s="64">
        <v>-25</v>
      </c>
      <c r="F326" s="64">
        <v>10</v>
      </c>
      <c r="G326">
        <f t="shared" si="8"/>
        <v>-0.54493063864016544</v>
      </c>
      <c r="H326">
        <f t="shared" si="9"/>
        <v>-0.29193185589997478</v>
      </c>
    </row>
    <row r="327" spans="1:8" hidden="1">
      <c r="A327" s="64">
        <v>2076</v>
      </c>
      <c r="B327" s="4" t="s">
        <v>161</v>
      </c>
      <c r="C327" s="4" t="s">
        <v>379</v>
      </c>
      <c r="D327" s="4" t="s">
        <v>337</v>
      </c>
      <c r="E327" s="64">
        <v>-20</v>
      </c>
      <c r="F327" s="64">
        <v>7</v>
      </c>
      <c r="G327">
        <f t="shared" si="8"/>
        <v>-0.45386124482521306</v>
      </c>
      <c r="H327">
        <f t="shared" si="9"/>
        <v>-0.83786091975811994</v>
      </c>
    </row>
    <row r="328" spans="1:8" hidden="1">
      <c r="A328" s="64">
        <v>2079</v>
      </c>
      <c r="B328" s="4" t="s">
        <v>461</v>
      </c>
      <c r="C328" s="4" t="s">
        <v>667</v>
      </c>
      <c r="D328" s="4" t="s">
        <v>605</v>
      </c>
      <c r="E328" s="64">
        <v>12</v>
      </c>
      <c r="F328" s="64">
        <v>8</v>
      </c>
      <c r="G328">
        <f t="shared" ref="G328:G337" si="10">STANDARDIZE(E328,$C$341,$C$342)</f>
        <v>0.12898287559048247</v>
      </c>
      <c r="H328">
        <f t="shared" ref="H328:H337" si="11">STANDARDIZE(F328,$D$341,$D$342)</f>
        <v>-0.65588456513873816</v>
      </c>
    </row>
    <row r="329" spans="1:8" hidden="1">
      <c r="A329" s="64">
        <v>2080</v>
      </c>
      <c r="B329" s="4" t="s">
        <v>158</v>
      </c>
      <c r="C329" s="4" t="s">
        <v>668</v>
      </c>
      <c r="D329" s="4" t="s">
        <v>669</v>
      </c>
      <c r="E329" s="64">
        <v>-4</v>
      </c>
      <c r="F329" s="64">
        <v>7</v>
      </c>
      <c r="G329">
        <f t="shared" si="10"/>
        <v>-0.16243918461736531</v>
      </c>
      <c r="H329">
        <f t="shared" si="11"/>
        <v>-0.83786091975811994</v>
      </c>
    </row>
    <row r="330" spans="1:8" hidden="1">
      <c r="A330" s="64">
        <v>2085</v>
      </c>
      <c r="B330" s="4" t="s">
        <v>294</v>
      </c>
      <c r="C330" s="4" t="s">
        <v>262</v>
      </c>
      <c r="D330" s="4" t="s">
        <v>670</v>
      </c>
      <c r="E330" s="64">
        <v>-13</v>
      </c>
      <c r="F330" s="64">
        <v>9</v>
      </c>
      <c r="G330">
        <f t="shared" si="10"/>
        <v>-0.32636409348427964</v>
      </c>
      <c r="H330">
        <f t="shared" si="11"/>
        <v>-0.4739082105193565</v>
      </c>
    </row>
    <row r="331" spans="1:8" hidden="1">
      <c r="A331" s="64">
        <v>2086</v>
      </c>
      <c r="B331" s="4" t="s">
        <v>341</v>
      </c>
      <c r="C331" s="4" t="s">
        <v>671</v>
      </c>
      <c r="D331" s="4" t="s">
        <v>600</v>
      </c>
      <c r="E331" s="64">
        <v>-23</v>
      </c>
      <c r="F331" s="64">
        <v>8</v>
      </c>
      <c r="G331">
        <f t="shared" si="10"/>
        <v>-0.50850288111418451</v>
      </c>
      <c r="H331">
        <f t="shared" si="11"/>
        <v>-0.65588456513873816</v>
      </c>
    </row>
    <row r="332" spans="1:8" hidden="1">
      <c r="A332" s="64">
        <v>2088</v>
      </c>
      <c r="B332" s="4" t="s">
        <v>155</v>
      </c>
      <c r="C332" s="4" t="s">
        <v>544</v>
      </c>
      <c r="D332" s="4" t="s">
        <v>672</v>
      </c>
      <c r="E332" s="64">
        <v>28</v>
      </c>
      <c r="F332" s="64">
        <v>12</v>
      </c>
      <c r="G332">
        <f t="shared" si="10"/>
        <v>0.42040493579833016</v>
      </c>
      <c r="H332">
        <f t="shared" si="11"/>
        <v>7.2020853338788646E-2</v>
      </c>
    </row>
    <row r="333" spans="1:8" hidden="1">
      <c r="A333" s="64">
        <v>2092</v>
      </c>
      <c r="B333" s="4" t="s">
        <v>158</v>
      </c>
      <c r="C333" s="4" t="s">
        <v>673</v>
      </c>
      <c r="D333" s="4" t="s">
        <v>674</v>
      </c>
      <c r="E333" s="64">
        <v>10</v>
      </c>
      <c r="F333" s="64">
        <v>11</v>
      </c>
      <c r="G333">
        <f t="shared" si="10"/>
        <v>9.2555118064501479E-2</v>
      </c>
      <c r="H333">
        <f t="shared" si="11"/>
        <v>-0.10995550128059307</v>
      </c>
    </row>
    <row r="334" spans="1:8" hidden="1">
      <c r="A334" s="64">
        <v>2094</v>
      </c>
      <c r="B334" s="4" t="s">
        <v>158</v>
      </c>
      <c r="C334" s="4" t="s">
        <v>675</v>
      </c>
      <c r="D334" s="4" t="s">
        <v>676</v>
      </c>
      <c r="E334" s="64">
        <v>-22</v>
      </c>
      <c r="F334" s="64">
        <v>7</v>
      </c>
      <c r="G334">
        <f t="shared" si="10"/>
        <v>-0.49028900235119399</v>
      </c>
      <c r="H334">
        <f t="shared" si="11"/>
        <v>-0.83786091975811994</v>
      </c>
    </row>
    <row r="335" spans="1:8">
      <c r="A335" s="64">
        <v>2096</v>
      </c>
      <c r="B335" s="4" t="s">
        <v>158</v>
      </c>
      <c r="C335" s="4" t="s">
        <v>677</v>
      </c>
      <c r="D335" s="4" t="s">
        <v>678</v>
      </c>
      <c r="E335" s="64">
        <v>-21</v>
      </c>
      <c r="F335" s="64">
        <v>8</v>
      </c>
      <c r="G335">
        <f t="shared" si="10"/>
        <v>-0.47207512358820353</v>
      </c>
      <c r="H335">
        <f t="shared" si="11"/>
        <v>-0.65588456513873816</v>
      </c>
    </row>
    <row r="336" spans="1:8">
      <c r="A336" s="64">
        <v>2097</v>
      </c>
      <c r="B336" s="4" t="s">
        <v>217</v>
      </c>
      <c r="C336" s="4" t="s">
        <v>679</v>
      </c>
      <c r="D336" s="4" t="s">
        <v>680</v>
      </c>
      <c r="E336" s="64">
        <v>-9</v>
      </c>
      <c r="F336" s="64">
        <v>9</v>
      </c>
      <c r="G336">
        <f t="shared" si="10"/>
        <v>-0.25350857843231772</v>
      </c>
      <c r="H336">
        <f t="shared" si="11"/>
        <v>-0.4739082105193565</v>
      </c>
    </row>
    <row r="337" spans="1:8">
      <c r="A337" s="64">
        <v>2098</v>
      </c>
      <c r="B337" s="4" t="s">
        <v>158</v>
      </c>
      <c r="C337" s="4" t="s">
        <v>681</v>
      </c>
      <c r="D337" s="4" t="s">
        <v>682</v>
      </c>
      <c r="E337" s="64">
        <v>-12</v>
      </c>
      <c r="F337" s="64">
        <v>8</v>
      </c>
      <c r="G337" s="73">
        <f t="shared" si="10"/>
        <v>-0.30815021472128917</v>
      </c>
      <c r="H337" s="73">
        <f t="shared" si="11"/>
        <v>-0.65588456513873816</v>
      </c>
    </row>
    <row r="338" spans="1:8">
      <c r="A338" s="65" t="s">
        <v>683</v>
      </c>
      <c r="B338" s="65" t="s">
        <v>683</v>
      </c>
      <c r="C338" s="65" t="s">
        <v>683</v>
      </c>
      <c r="D338" s="65" t="s">
        <v>683</v>
      </c>
      <c r="E338" s="65" t="s">
        <v>683</v>
      </c>
      <c r="F338" s="65" t="s">
        <v>683</v>
      </c>
    </row>
    <row r="339" spans="1:8" ht="15.75" thickBot="1">
      <c r="A339" s="5" t="s">
        <v>108</v>
      </c>
    </row>
    <row r="340" spans="1:8">
      <c r="B340" s="41"/>
      <c r="C340" s="67" t="s">
        <v>686</v>
      </c>
      <c r="D340" s="68" t="s">
        <v>687</v>
      </c>
    </row>
    <row r="341" spans="1:8">
      <c r="B341" s="69" t="s">
        <v>80</v>
      </c>
      <c r="C341" s="66">
        <f>AVERAGE(E7:E337)</f>
        <v>4.9184290030211484</v>
      </c>
      <c r="D341" s="70">
        <f>AVERAGE(F7:F337)</f>
        <v>11.604229607250755</v>
      </c>
    </row>
    <row r="342" spans="1:8" ht="15.75" thickBot="1">
      <c r="B342" s="71" t="s">
        <v>685</v>
      </c>
      <c r="C342" s="72">
        <f>_xlfn.STDEV.S(E7:E337)</f>
        <v>54.903187454609636</v>
      </c>
      <c r="D342" s="46">
        <f>_xlfn.STDEV.S(F7:F337)</f>
        <v>5.4952194316211083</v>
      </c>
    </row>
    <row r="344" spans="1:8">
      <c r="A344" s="5" t="s">
        <v>109</v>
      </c>
      <c r="B344" s="74" t="s">
        <v>690</v>
      </c>
    </row>
    <row r="345" spans="1:8" ht="15.75" thickBot="1"/>
    <row r="346" spans="1:8">
      <c r="A346" s="5" t="s">
        <v>111</v>
      </c>
      <c r="B346" s="41" t="s">
        <v>692</v>
      </c>
      <c r="C346" s="75" t="s">
        <v>693</v>
      </c>
    </row>
    <row r="347" spans="1:8" ht="15.75" thickBot="1">
      <c r="B347" s="45" cm="1">
        <f t="array" ref="B347">SUMPRODUCT(--(ABS(G7:G337) &gt; 3))</f>
        <v>4</v>
      </c>
      <c r="C347" s="46" cm="1">
        <f t="array" ref="C347">SUMPRODUCT(--(ABS(H7:H337) &gt; 3))</f>
        <v>8</v>
      </c>
    </row>
    <row r="349" spans="1:8">
      <c r="B349" s="152" t="s">
        <v>694</v>
      </c>
      <c r="C349" s="152"/>
      <c r="D349" s="152"/>
      <c r="E349" s="152"/>
    </row>
    <row r="350" spans="1:8">
      <c r="B350" s="152"/>
      <c r="C350" s="152"/>
      <c r="D350" s="152"/>
      <c r="E350" s="152"/>
    </row>
    <row r="351" spans="1:8">
      <c r="B351" s="152"/>
      <c r="C351" s="152"/>
      <c r="D351" s="152"/>
      <c r="E351" s="152"/>
    </row>
    <row r="352" spans="1:8">
      <c r="B352" s="152"/>
      <c r="C352" s="152"/>
      <c r="D352" s="152"/>
      <c r="E352" s="152"/>
    </row>
    <row r="353" spans="2:5">
      <c r="B353" s="152"/>
      <c r="C353" s="152"/>
      <c r="D353" s="152"/>
      <c r="E353" s="152"/>
    </row>
    <row r="354" spans="2:5">
      <c r="B354" s="152"/>
      <c r="C354" s="152"/>
      <c r="D354" s="152"/>
      <c r="E354" s="152"/>
    </row>
    <row r="355" spans="2:5">
      <c r="B355" s="152"/>
      <c r="C355" s="152"/>
      <c r="D355" s="152"/>
      <c r="E355" s="152"/>
    </row>
  </sheetData>
  <mergeCells count="1">
    <mergeCell ref="B349:E35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8E975-7641-4E48-B895-1FB6768D5FEC}">
  <dimension ref="A1:S270"/>
  <sheetViews>
    <sheetView zoomScale="89" zoomScaleNormal="100" workbookViewId="0">
      <selection activeCell="H96" sqref="H96:K115"/>
    </sheetView>
  </sheetViews>
  <sheetFormatPr defaultRowHeight="15"/>
  <cols>
    <col min="1" max="1" width="3.85546875" style="76" customWidth="1"/>
    <col min="2" max="2" width="3.28515625" style="76" bestFit="1" customWidth="1"/>
    <col min="3" max="3" width="3.42578125" style="76" bestFit="1" customWidth="1"/>
    <col min="4" max="4" width="4" style="76" bestFit="1" customWidth="1"/>
    <col min="5" max="6" width="3.42578125" style="76" bestFit="1" customWidth="1"/>
    <col min="7" max="7" width="7.140625" style="76" bestFit="1" customWidth="1"/>
    <col min="8" max="8" width="26.140625" style="76" customWidth="1"/>
    <col min="9" max="9" width="25.7109375" style="77" customWidth="1"/>
    <col min="10" max="10" width="22.7109375" style="76" customWidth="1"/>
    <col min="11" max="11" width="23.85546875" style="76" customWidth="1"/>
    <col min="12" max="12" width="20.28515625" customWidth="1"/>
    <col min="13" max="13" width="18" customWidth="1"/>
    <col min="14" max="14" width="22.5703125" customWidth="1"/>
    <col min="15" max="15" width="23.5703125" customWidth="1"/>
    <col min="16" max="16" width="22.5703125" customWidth="1"/>
    <col min="17" max="17" width="25.85546875" customWidth="1"/>
    <col min="18" max="18" width="18" customWidth="1"/>
    <col min="19" max="19" width="9.140625" customWidth="1"/>
  </cols>
  <sheetData>
    <row r="1" spans="1:19">
      <c r="A1" s="5" t="s">
        <v>0</v>
      </c>
    </row>
    <row r="2" spans="1:19">
      <c r="A2" s="5" t="s">
        <v>707</v>
      </c>
    </row>
    <row r="4" spans="1:19">
      <c r="A4" s="2" t="s">
        <v>695</v>
      </c>
      <c r="I4" s="90"/>
    </row>
    <row r="6" spans="1:19" ht="35.25" customHeight="1" thickBot="1">
      <c r="A6" s="26" t="s">
        <v>696</v>
      </c>
      <c r="B6" s="26" t="s">
        <v>697</v>
      </c>
      <c r="C6" s="26" t="s">
        <v>698</v>
      </c>
      <c r="D6" s="26" t="s">
        <v>699</v>
      </c>
      <c r="E6" s="26" t="s">
        <v>700</v>
      </c>
      <c r="F6" s="26" t="s">
        <v>701</v>
      </c>
      <c r="G6" s="26" t="s">
        <v>702</v>
      </c>
      <c r="H6" s="26" t="s">
        <v>703</v>
      </c>
      <c r="I6" s="78" t="s">
        <v>704</v>
      </c>
      <c r="J6" s="26" t="s">
        <v>705</v>
      </c>
      <c r="K6" s="26" t="s">
        <v>706</v>
      </c>
      <c r="L6" s="62" t="s">
        <v>716</v>
      </c>
      <c r="M6" s="62" t="s">
        <v>717</v>
      </c>
      <c r="N6" s="87"/>
      <c r="O6" s="88"/>
      <c r="P6" s="87"/>
      <c r="Q6" s="88"/>
      <c r="R6" s="87"/>
      <c r="S6" s="88"/>
    </row>
    <row r="7" spans="1:19" ht="15.75" thickTop="1">
      <c r="A7" s="77">
        <v>3</v>
      </c>
      <c r="B7" s="77">
        <v>2</v>
      </c>
      <c r="C7" s="77">
        <v>0</v>
      </c>
      <c r="D7" s="77">
        <v>2</v>
      </c>
      <c r="E7" s="77">
        <v>2</v>
      </c>
      <c r="F7" s="77">
        <v>2</v>
      </c>
      <c r="G7" s="77">
        <v>3</v>
      </c>
      <c r="H7" s="79">
        <f>AVERAGE(A7:C7)</f>
        <v>1.6666666666666667</v>
      </c>
      <c r="I7" s="79">
        <f>AVERAGE(D7:F7)</f>
        <v>2</v>
      </c>
      <c r="J7" s="76">
        <v>0.36</v>
      </c>
      <c r="K7" s="77">
        <v>20</v>
      </c>
      <c r="L7">
        <f t="shared" ref="L7:L50" si="0">STANDARDIZE(J7,$I$88,$I$89)</f>
        <v>-0.36124831932177565</v>
      </c>
      <c r="M7">
        <f t="shared" ref="M7:M50" si="1">STANDARDIZE(K7,$J$88,$J$89)</f>
        <v>-9.7971369202825717E-2</v>
      </c>
    </row>
    <row r="8" spans="1:19">
      <c r="A8" s="77">
        <v>2</v>
      </c>
      <c r="B8" s="77">
        <v>2</v>
      </c>
      <c r="C8" s="77">
        <v>2</v>
      </c>
      <c r="D8" s="77">
        <v>2</v>
      </c>
      <c r="E8" s="77">
        <v>2</v>
      </c>
      <c r="F8" s="77">
        <v>2</v>
      </c>
      <c r="G8" s="77">
        <v>2</v>
      </c>
      <c r="H8" s="79">
        <f t="shared" ref="H8:H50" si="2">AVERAGE(A8:C8)</f>
        <v>2</v>
      </c>
      <c r="I8" s="79">
        <f t="shared" ref="I8:I50" si="3">AVERAGE(D8:F8)</f>
        <v>2</v>
      </c>
      <c r="J8" s="76">
        <v>7.99</v>
      </c>
      <c r="K8" s="77">
        <v>12</v>
      </c>
      <c r="L8">
        <f t="shared" si="0"/>
        <v>0.20457367266621784</v>
      </c>
      <c r="M8">
        <f t="shared" si="1"/>
        <v>-0.50851805919561899</v>
      </c>
    </row>
    <row r="9" spans="1:19">
      <c r="A9" s="77">
        <v>2</v>
      </c>
      <c r="B9" s="77">
        <v>2</v>
      </c>
      <c r="C9" s="77">
        <v>3</v>
      </c>
      <c r="D9" s="77">
        <v>2</v>
      </c>
      <c r="E9" s="77">
        <v>2</v>
      </c>
      <c r="F9" s="77">
        <v>2</v>
      </c>
      <c r="G9" s="77">
        <v>2</v>
      </c>
      <c r="H9" s="79">
        <f t="shared" si="2"/>
        <v>2.3333333333333335</v>
      </c>
      <c r="I9" s="79">
        <f t="shared" si="3"/>
        <v>2</v>
      </c>
      <c r="J9" s="76">
        <v>0.04</v>
      </c>
      <c r="K9" s="77">
        <v>15</v>
      </c>
      <c r="L9">
        <f t="shared" si="0"/>
        <v>-0.38497873051917514</v>
      </c>
      <c r="M9">
        <f t="shared" si="1"/>
        <v>-0.35456305044832148</v>
      </c>
    </row>
    <row r="10" spans="1:19">
      <c r="A10" s="77">
        <v>3</v>
      </c>
      <c r="B10" s="77">
        <v>3</v>
      </c>
      <c r="C10" s="77">
        <v>4</v>
      </c>
      <c r="D10" s="77">
        <v>4</v>
      </c>
      <c r="E10" s="77">
        <v>1</v>
      </c>
      <c r="F10" s="77">
        <v>2</v>
      </c>
      <c r="G10" s="77">
        <v>3</v>
      </c>
      <c r="H10" s="79">
        <f t="shared" si="2"/>
        <v>3.3333333333333335</v>
      </c>
      <c r="I10" s="79">
        <f t="shared" si="3"/>
        <v>2.3333333333333335</v>
      </c>
      <c r="J10" s="80">
        <v>24.31</v>
      </c>
      <c r="K10" s="77">
        <v>11</v>
      </c>
      <c r="L10">
        <f t="shared" si="0"/>
        <v>1.4148246437335905</v>
      </c>
      <c r="M10">
        <f t="shared" si="1"/>
        <v>-0.55983639544471808</v>
      </c>
    </row>
    <row r="11" spans="1:19">
      <c r="A11" s="77">
        <v>3</v>
      </c>
      <c r="B11" s="77">
        <v>3</v>
      </c>
      <c r="C11" s="77">
        <v>4</v>
      </c>
      <c r="D11" s="77">
        <v>2</v>
      </c>
      <c r="E11" s="77">
        <v>3</v>
      </c>
      <c r="F11" s="77">
        <v>3</v>
      </c>
      <c r="G11" s="77">
        <v>4</v>
      </c>
      <c r="H11" s="79">
        <f t="shared" si="2"/>
        <v>3.3333333333333335</v>
      </c>
      <c r="I11" s="79">
        <f t="shared" si="3"/>
        <v>2.6666666666666665</v>
      </c>
      <c r="J11" s="76">
        <v>0.65</v>
      </c>
      <c r="K11" s="77">
        <v>22</v>
      </c>
      <c r="L11">
        <f t="shared" si="0"/>
        <v>-0.33974263417413236</v>
      </c>
      <c r="M11">
        <f t="shared" si="1"/>
        <v>4.6653032953726014E-3</v>
      </c>
    </row>
    <row r="12" spans="1:19">
      <c r="A12" s="77">
        <v>2</v>
      </c>
      <c r="B12" s="77">
        <v>2</v>
      </c>
      <c r="C12" s="77">
        <v>2</v>
      </c>
      <c r="D12" s="77">
        <v>2</v>
      </c>
      <c r="E12" s="77">
        <v>2</v>
      </c>
      <c r="F12" s="77">
        <v>2</v>
      </c>
      <c r="G12" s="77">
        <v>2</v>
      </c>
      <c r="H12" s="79">
        <f t="shared" si="2"/>
        <v>2</v>
      </c>
      <c r="I12" s="79">
        <f t="shared" si="3"/>
        <v>2</v>
      </c>
      <c r="J12" s="76">
        <v>7.0000000000000007E-2</v>
      </c>
      <c r="K12" s="77">
        <v>6</v>
      </c>
      <c r="L12">
        <f t="shared" si="0"/>
        <v>-0.38275400446941887</v>
      </c>
      <c r="M12">
        <f t="shared" si="1"/>
        <v>-0.81642807669021389</v>
      </c>
    </row>
    <row r="13" spans="1:19">
      <c r="A13" s="77">
        <v>3</v>
      </c>
      <c r="B13" s="77">
        <v>3</v>
      </c>
      <c r="C13" s="77">
        <v>4</v>
      </c>
      <c r="D13" s="77">
        <v>3</v>
      </c>
      <c r="E13" s="77">
        <v>3</v>
      </c>
      <c r="F13" s="77">
        <v>3</v>
      </c>
      <c r="G13" s="77">
        <v>3</v>
      </c>
      <c r="H13" s="79">
        <f t="shared" si="2"/>
        <v>3.3333333333333335</v>
      </c>
      <c r="I13" s="79">
        <f t="shared" si="3"/>
        <v>3</v>
      </c>
      <c r="J13" s="80">
        <v>1.17</v>
      </c>
      <c r="K13" s="77">
        <v>39</v>
      </c>
      <c r="L13">
        <f t="shared" si="0"/>
        <v>-0.30118071597835827</v>
      </c>
      <c r="M13">
        <f t="shared" si="1"/>
        <v>0.87707701953005823</v>
      </c>
    </row>
    <row r="14" spans="1:19">
      <c r="A14" s="77">
        <v>4</v>
      </c>
      <c r="B14" s="77">
        <v>4</v>
      </c>
      <c r="C14" s="77">
        <v>4</v>
      </c>
      <c r="D14" s="77">
        <v>4</v>
      </c>
      <c r="E14" s="77">
        <v>4</v>
      </c>
      <c r="F14" s="77">
        <v>4</v>
      </c>
      <c r="G14" s="77">
        <v>4</v>
      </c>
      <c r="H14" s="79">
        <f t="shared" si="2"/>
        <v>4</v>
      </c>
      <c r="I14" s="79">
        <f t="shared" si="3"/>
        <v>4</v>
      </c>
      <c r="J14" s="76">
        <v>8.6300000000000008</v>
      </c>
      <c r="K14" s="77">
        <v>19</v>
      </c>
      <c r="L14">
        <f t="shared" si="0"/>
        <v>0.25203449506101683</v>
      </c>
      <c r="M14">
        <f t="shared" si="1"/>
        <v>-0.14928970545192488</v>
      </c>
    </row>
    <row r="15" spans="1:19">
      <c r="A15" s="77">
        <v>4</v>
      </c>
      <c r="B15" s="77">
        <v>4</v>
      </c>
      <c r="C15" s="77">
        <v>4</v>
      </c>
      <c r="D15" s="77">
        <v>4</v>
      </c>
      <c r="E15" s="77">
        <v>4</v>
      </c>
      <c r="F15" s="77">
        <v>4</v>
      </c>
      <c r="G15" s="77">
        <v>4</v>
      </c>
      <c r="H15" s="79">
        <f t="shared" si="2"/>
        <v>4</v>
      </c>
      <c r="I15" s="79">
        <f t="shared" si="3"/>
        <v>4</v>
      </c>
      <c r="J15" s="80">
        <v>1.1599999999999999</v>
      </c>
      <c r="K15" s="77">
        <v>12</v>
      </c>
      <c r="L15">
        <f t="shared" si="0"/>
        <v>-0.30192229132827697</v>
      </c>
      <c r="M15">
        <f t="shared" si="1"/>
        <v>-0.50851805919561899</v>
      </c>
    </row>
    <row r="16" spans="1:19">
      <c r="A16" s="77">
        <v>3</v>
      </c>
      <c r="B16" s="77">
        <v>3</v>
      </c>
      <c r="C16" s="77">
        <v>3</v>
      </c>
      <c r="D16" s="77">
        <v>3</v>
      </c>
      <c r="E16" s="77">
        <v>3</v>
      </c>
      <c r="F16" s="77">
        <v>3</v>
      </c>
      <c r="G16" s="77">
        <v>3</v>
      </c>
      <c r="H16" s="79">
        <f t="shared" si="2"/>
        <v>3</v>
      </c>
      <c r="I16" s="79">
        <f t="shared" si="3"/>
        <v>3</v>
      </c>
      <c r="J16" s="76">
        <v>0.02</v>
      </c>
      <c r="K16" s="77">
        <v>13</v>
      </c>
      <c r="L16">
        <f t="shared" si="0"/>
        <v>-0.38646188121901259</v>
      </c>
      <c r="M16">
        <f t="shared" si="1"/>
        <v>-0.45719972294651984</v>
      </c>
    </row>
    <row r="17" spans="1:13">
      <c r="A17" s="77">
        <v>3</v>
      </c>
      <c r="B17" s="77">
        <v>3</v>
      </c>
      <c r="C17" s="77">
        <v>3</v>
      </c>
      <c r="D17" s="77">
        <v>3</v>
      </c>
      <c r="E17" s="77">
        <v>4</v>
      </c>
      <c r="F17" s="77">
        <v>3</v>
      </c>
      <c r="G17" s="77">
        <v>3</v>
      </c>
      <c r="H17" s="79">
        <f t="shared" si="2"/>
        <v>3</v>
      </c>
      <c r="I17" s="79">
        <f t="shared" si="3"/>
        <v>3.3333333333333335</v>
      </c>
      <c r="J17" s="76">
        <v>0.91</v>
      </c>
      <c r="K17" s="77">
        <v>13</v>
      </c>
      <c r="L17">
        <f t="shared" si="0"/>
        <v>-0.32046167507624529</v>
      </c>
      <c r="M17">
        <f t="shared" si="1"/>
        <v>-0.45719972294651984</v>
      </c>
    </row>
    <row r="18" spans="1:13">
      <c r="A18" s="77">
        <v>3</v>
      </c>
      <c r="B18" s="77">
        <v>2</v>
      </c>
      <c r="C18" s="77">
        <v>3</v>
      </c>
      <c r="D18" s="77">
        <v>3</v>
      </c>
      <c r="E18" s="77">
        <v>4</v>
      </c>
      <c r="F18" s="77">
        <v>4</v>
      </c>
      <c r="G18" s="77">
        <v>3</v>
      </c>
      <c r="H18" s="79">
        <f t="shared" si="2"/>
        <v>2.6666666666666665</v>
      </c>
      <c r="I18" s="79">
        <f t="shared" si="3"/>
        <v>3.6666666666666665</v>
      </c>
      <c r="J18" s="76">
        <v>0.06</v>
      </c>
      <c r="K18" s="77">
        <v>19</v>
      </c>
      <c r="L18">
        <f t="shared" si="0"/>
        <v>-0.38349557981933768</v>
      </c>
      <c r="M18">
        <f t="shared" si="1"/>
        <v>-0.14928970545192488</v>
      </c>
    </row>
    <row r="19" spans="1:13">
      <c r="A19" s="77">
        <v>4</v>
      </c>
      <c r="B19" s="77">
        <v>4</v>
      </c>
      <c r="C19" s="77">
        <v>4</v>
      </c>
      <c r="D19" s="77">
        <v>4</v>
      </c>
      <c r="E19" s="77">
        <v>4</v>
      </c>
      <c r="F19" s="77">
        <v>4</v>
      </c>
      <c r="G19" s="77">
        <v>4</v>
      </c>
      <c r="H19" s="79">
        <f t="shared" si="2"/>
        <v>4</v>
      </c>
      <c r="I19" s="79">
        <f t="shared" si="3"/>
        <v>4</v>
      </c>
      <c r="J19" s="76">
        <v>0.15</v>
      </c>
      <c r="K19" s="77">
        <v>47</v>
      </c>
      <c r="L19">
        <f t="shared" si="0"/>
        <v>-0.376821401670069</v>
      </c>
      <c r="M19">
        <f t="shared" si="1"/>
        <v>1.2876237095228515</v>
      </c>
    </row>
    <row r="20" spans="1:13">
      <c r="A20" s="77">
        <v>4</v>
      </c>
      <c r="B20" s="77">
        <v>4</v>
      </c>
      <c r="C20" s="77">
        <v>4</v>
      </c>
      <c r="D20" s="77">
        <v>4</v>
      </c>
      <c r="E20" s="77">
        <v>4</v>
      </c>
      <c r="F20" s="77">
        <v>4</v>
      </c>
      <c r="G20" s="77">
        <v>4</v>
      </c>
      <c r="H20" s="79">
        <f t="shared" si="2"/>
        <v>4</v>
      </c>
      <c r="I20" s="79">
        <f t="shared" si="3"/>
        <v>4</v>
      </c>
      <c r="J20" s="76">
        <v>23.24</v>
      </c>
      <c r="K20" s="77">
        <v>24</v>
      </c>
      <c r="L20">
        <f t="shared" si="0"/>
        <v>1.3354760812922859</v>
      </c>
      <c r="M20">
        <f t="shared" si="1"/>
        <v>0.10730197579357091</v>
      </c>
    </row>
    <row r="21" spans="1:13">
      <c r="A21" s="77">
        <v>4</v>
      </c>
      <c r="B21" s="77">
        <v>4</v>
      </c>
      <c r="C21" s="77">
        <v>4</v>
      </c>
      <c r="D21" s="77">
        <v>4</v>
      </c>
      <c r="E21" s="77">
        <v>4</v>
      </c>
      <c r="F21" s="77">
        <v>4</v>
      </c>
      <c r="G21" s="77">
        <v>1</v>
      </c>
      <c r="H21" s="79">
        <f t="shared" si="2"/>
        <v>4</v>
      </c>
      <c r="I21" s="79">
        <f t="shared" si="3"/>
        <v>4</v>
      </c>
      <c r="J21" s="76">
        <v>0.05</v>
      </c>
      <c r="K21" s="77">
        <v>19</v>
      </c>
      <c r="L21">
        <f t="shared" si="0"/>
        <v>-0.38423715516925638</v>
      </c>
      <c r="M21">
        <f t="shared" si="1"/>
        <v>-0.14928970545192488</v>
      </c>
    </row>
    <row r="22" spans="1:13">
      <c r="A22" s="77">
        <v>3</v>
      </c>
      <c r="B22" s="77">
        <v>4</v>
      </c>
      <c r="C22" s="77">
        <v>4</v>
      </c>
      <c r="D22" s="77">
        <v>4</v>
      </c>
      <c r="E22" s="77">
        <v>4</v>
      </c>
      <c r="F22" s="77">
        <v>4</v>
      </c>
      <c r="G22" s="77">
        <v>4</v>
      </c>
      <c r="H22" s="79">
        <f t="shared" si="2"/>
        <v>3.6666666666666665</v>
      </c>
      <c r="I22" s="79">
        <f t="shared" si="3"/>
        <v>4</v>
      </c>
      <c r="J22" s="76">
        <v>5.35</v>
      </c>
      <c r="K22" s="77">
        <v>17</v>
      </c>
      <c r="L22">
        <f t="shared" si="0"/>
        <v>8.7977802876722123E-3</v>
      </c>
      <c r="M22">
        <f t="shared" si="1"/>
        <v>-0.25192637795012318</v>
      </c>
    </row>
    <row r="23" spans="1:13">
      <c r="A23" s="77">
        <v>2</v>
      </c>
      <c r="B23" s="77">
        <v>2</v>
      </c>
      <c r="C23" s="77">
        <v>2</v>
      </c>
      <c r="D23" s="77">
        <v>2</v>
      </c>
      <c r="E23" s="77">
        <v>2</v>
      </c>
      <c r="F23" s="77">
        <v>2</v>
      </c>
      <c r="G23" s="77">
        <v>3</v>
      </c>
      <c r="H23" s="79">
        <f t="shared" si="2"/>
        <v>2</v>
      </c>
      <c r="I23" s="79">
        <f t="shared" si="3"/>
        <v>2</v>
      </c>
      <c r="J23" s="76">
        <v>0.03</v>
      </c>
      <c r="K23" s="77">
        <v>13</v>
      </c>
      <c r="L23">
        <f t="shared" si="0"/>
        <v>-0.38572030586909384</v>
      </c>
      <c r="M23">
        <f t="shared" si="1"/>
        <v>-0.45719972294651984</v>
      </c>
    </row>
    <row r="24" spans="1:13">
      <c r="A24" s="77">
        <v>2</v>
      </c>
      <c r="B24" s="77">
        <v>2</v>
      </c>
      <c r="C24" s="77">
        <v>3</v>
      </c>
      <c r="D24" s="77">
        <v>3</v>
      </c>
      <c r="E24" s="77">
        <v>3</v>
      </c>
      <c r="F24" s="77">
        <v>2</v>
      </c>
      <c r="G24" s="77">
        <v>3</v>
      </c>
      <c r="H24" s="79">
        <f t="shared" si="2"/>
        <v>2.3333333333333335</v>
      </c>
      <c r="I24" s="79">
        <f t="shared" si="3"/>
        <v>2.6666666666666665</v>
      </c>
      <c r="J24" s="76">
        <v>0.01</v>
      </c>
      <c r="K24" s="77">
        <v>8</v>
      </c>
      <c r="L24">
        <f t="shared" si="0"/>
        <v>-0.38720345656893135</v>
      </c>
      <c r="M24">
        <f t="shared" si="1"/>
        <v>-0.71379140419201559</v>
      </c>
    </row>
    <row r="25" spans="1:13">
      <c r="A25" s="77">
        <v>2</v>
      </c>
      <c r="B25" s="77">
        <v>2</v>
      </c>
      <c r="C25" s="77">
        <v>3</v>
      </c>
      <c r="D25" s="77">
        <v>3</v>
      </c>
      <c r="E25" s="77">
        <v>3</v>
      </c>
      <c r="F25" s="77">
        <v>3</v>
      </c>
      <c r="G25" s="77">
        <v>3</v>
      </c>
      <c r="H25" s="79">
        <f t="shared" si="2"/>
        <v>2.3333333333333335</v>
      </c>
      <c r="I25" s="79">
        <f t="shared" si="3"/>
        <v>3</v>
      </c>
      <c r="J25" s="76">
        <v>0.05</v>
      </c>
      <c r="K25" s="77">
        <v>33</v>
      </c>
      <c r="L25">
        <f t="shared" si="0"/>
        <v>-0.38423715516925638</v>
      </c>
      <c r="M25">
        <f t="shared" si="1"/>
        <v>0.56916700203546333</v>
      </c>
    </row>
    <row r="26" spans="1:13">
      <c r="A26" s="77">
        <v>3</v>
      </c>
      <c r="B26" s="77">
        <v>4</v>
      </c>
      <c r="C26" s="77">
        <v>4</v>
      </c>
      <c r="D26" s="77">
        <v>3</v>
      </c>
      <c r="E26" s="77">
        <v>3</v>
      </c>
      <c r="F26" s="77">
        <v>3</v>
      </c>
      <c r="G26" s="81">
        <v>2</v>
      </c>
      <c r="H26" s="79">
        <f t="shared" si="2"/>
        <v>3.6666666666666665</v>
      </c>
      <c r="I26" s="79">
        <f t="shared" si="3"/>
        <v>3</v>
      </c>
      <c r="J26" s="76">
        <v>0.05</v>
      </c>
      <c r="K26" s="77">
        <v>21</v>
      </c>
      <c r="L26">
        <f t="shared" si="0"/>
        <v>-0.38423715516925638</v>
      </c>
      <c r="M26">
        <f t="shared" si="1"/>
        <v>-4.6653032953726553E-2</v>
      </c>
    </row>
    <row r="27" spans="1:13">
      <c r="A27" s="77">
        <v>4</v>
      </c>
      <c r="B27" s="77">
        <v>3</v>
      </c>
      <c r="C27" s="77">
        <v>4</v>
      </c>
      <c r="D27" s="77">
        <v>4</v>
      </c>
      <c r="E27" s="77">
        <v>3</v>
      </c>
      <c r="F27" s="77">
        <v>3</v>
      </c>
      <c r="G27" s="77">
        <v>3</v>
      </c>
      <c r="H27" s="79">
        <f t="shared" si="2"/>
        <v>3.6666666666666665</v>
      </c>
      <c r="I27" s="79">
        <f t="shared" si="3"/>
        <v>3.3333333333333335</v>
      </c>
      <c r="J27" s="76">
        <v>2.4300000000000002</v>
      </c>
      <c r="K27" s="77">
        <v>28</v>
      </c>
      <c r="L27">
        <f t="shared" si="0"/>
        <v>-0.20774222188859787</v>
      </c>
      <c r="M27">
        <f t="shared" si="1"/>
        <v>0.31257532078996753</v>
      </c>
    </row>
    <row r="28" spans="1:13">
      <c r="A28" s="77">
        <v>4</v>
      </c>
      <c r="B28" s="77">
        <v>4</v>
      </c>
      <c r="C28" s="77">
        <v>4</v>
      </c>
      <c r="D28" s="77">
        <v>4</v>
      </c>
      <c r="E28" s="77">
        <v>4</v>
      </c>
      <c r="F28" s="77">
        <v>4</v>
      </c>
      <c r="G28" s="77">
        <v>4</v>
      </c>
      <c r="H28" s="79">
        <f t="shared" si="2"/>
        <v>4</v>
      </c>
      <c r="I28" s="79">
        <f t="shared" si="3"/>
        <v>4</v>
      </c>
      <c r="J28" s="76">
        <v>0.03</v>
      </c>
      <c r="K28" s="77">
        <v>13</v>
      </c>
      <c r="L28">
        <f t="shared" si="0"/>
        <v>-0.38572030586909384</v>
      </c>
      <c r="M28">
        <f t="shared" si="1"/>
        <v>-0.45719972294651984</v>
      </c>
    </row>
    <row r="29" spans="1:13">
      <c r="A29" s="77">
        <v>1</v>
      </c>
      <c r="B29" s="77">
        <v>1</v>
      </c>
      <c r="C29" s="77">
        <v>1</v>
      </c>
      <c r="D29" s="77">
        <v>1</v>
      </c>
      <c r="E29" s="77">
        <v>1</v>
      </c>
      <c r="F29" s="77">
        <v>1</v>
      </c>
      <c r="G29" s="77">
        <v>3</v>
      </c>
      <c r="H29" s="79">
        <f t="shared" si="2"/>
        <v>1</v>
      </c>
      <c r="I29" s="79">
        <f t="shared" si="3"/>
        <v>1</v>
      </c>
      <c r="J29" s="76">
        <v>48.92</v>
      </c>
      <c r="K29" s="77">
        <v>2</v>
      </c>
      <c r="L29">
        <f t="shared" si="0"/>
        <v>3.2398415798835929</v>
      </c>
      <c r="M29">
        <f t="shared" si="1"/>
        <v>-1.0217014216866105</v>
      </c>
    </row>
    <row r="30" spans="1:13">
      <c r="A30" s="77">
        <v>3</v>
      </c>
      <c r="B30" s="77">
        <v>3</v>
      </c>
      <c r="C30" s="77">
        <v>3</v>
      </c>
      <c r="D30" s="77">
        <v>3</v>
      </c>
      <c r="E30" s="77">
        <v>3</v>
      </c>
      <c r="F30" s="77">
        <v>3</v>
      </c>
      <c r="G30" s="77">
        <v>2</v>
      </c>
      <c r="H30" s="79">
        <f t="shared" si="2"/>
        <v>3</v>
      </c>
      <c r="I30" s="79">
        <f t="shared" si="3"/>
        <v>3</v>
      </c>
      <c r="J30" s="76">
        <v>0.03</v>
      </c>
      <c r="K30" s="77">
        <v>25</v>
      </c>
      <c r="L30">
        <f t="shared" si="0"/>
        <v>-0.38572030586909384</v>
      </c>
      <c r="M30">
        <f t="shared" si="1"/>
        <v>0.15862031204267008</v>
      </c>
    </row>
    <row r="31" spans="1:13">
      <c r="A31" s="77">
        <v>3</v>
      </c>
      <c r="B31" s="77">
        <v>3</v>
      </c>
      <c r="C31" s="77">
        <v>3</v>
      </c>
      <c r="D31" s="77">
        <v>3</v>
      </c>
      <c r="E31" s="77">
        <v>3</v>
      </c>
      <c r="F31" s="77">
        <v>3</v>
      </c>
      <c r="G31" s="77">
        <v>3</v>
      </c>
      <c r="H31" s="79">
        <f t="shared" si="2"/>
        <v>3</v>
      </c>
      <c r="I31" s="79">
        <f t="shared" si="3"/>
        <v>3</v>
      </c>
      <c r="J31" s="80">
        <v>7.08</v>
      </c>
      <c r="K31" s="77">
        <v>25</v>
      </c>
      <c r="L31">
        <f t="shared" si="0"/>
        <v>0.13709031582361308</v>
      </c>
      <c r="M31">
        <f t="shared" si="1"/>
        <v>0.15862031204267008</v>
      </c>
    </row>
    <row r="32" spans="1:13">
      <c r="A32" s="77">
        <v>2</v>
      </c>
      <c r="B32" s="77">
        <v>2</v>
      </c>
      <c r="C32" s="77">
        <v>2</v>
      </c>
      <c r="D32" s="77">
        <v>2</v>
      </c>
      <c r="E32" s="77">
        <v>0</v>
      </c>
      <c r="F32" s="77">
        <v>1</v>
      </c>
      <c r="G32" s="77">
        <v>2</v>
      </c>
      <c r="H32" s="79">
        <f t="shared" si="2"/>
        <v>2</v>
      </c>
      <c r="I32" s="79">
        <f t="shared" si="3"/>
        <v>1</v>
      </c>
      <c r="J32" s="76">
        <v>0.89</v>
      </c>
      <c r="K32" s="77">
        <v>48</v>
      </c>
      <c r="L32">
        <f t="shared" si="0"/>
        <v>-0.3219448257760828</v>
      </c>
      <c r="M32">
        <f t="shared" si="1"/>
        <v>1.3389420457719508</v>
      </c>
    </row>
    <row r="33" spans="1:13">
      <c r="A33" s="77">
        <v>2</v>
      </c>
      <c r="B33" s="77">
        <v>2</v>
      </c>
      <c r="C33" s="77">
        <v>2</v>
      </c>
      <c r="D33" s="77">
        <v>2</v>
      </c>
      <c r="E33" s="77">
        <v>3</v>
      </c>
      <c r="F33" s="77">
        <v>2</v>
      </c>
      <c r="G33" s="77">
        <v>2</v>
      </c>
      <c r="H33" s="79">
        <f t="shared" si="2"/>
        <v>2</v>
      </c>
      <c r="I33" s="79">
        <f t="shared" si="3"/>
        <v>2.3333333333333335</v>
      </c>
      <c r="J33" s="76">
        <v>0.01</v>
      </c>
      <c r="K33" s="77">
        <v>12</v>
      </c>
      <c r="L33">
        <f t="shared" si="0"/>
        <v>-0.38720345656893135</v>
      </c>
      <c r="M33">
        <f t="shared" si="1"/>
        <v>-0.50851805919561899</v>
      </c>
    </row>
    <row r="34" spans="1:13">
      <c r="A34" s="77">
        <v>4</v>
      </c>
      <c r="B34" s="77">
        <v>4</v>
      </c>
      <c r="C34" s="77">
        <v>4</v>
      </c>
      <c r="D34" s="77">
        <v>4</v>
      </c>
      <c r="E34" s="77">
        <v>4</v>
      </c>
      <c r="F34" s="77">
        <v>4</v>
      </c>
      <c r="G34" s="77">
        <v>3</v>
      </c>
      <c r="H34" s="79">
        <f t="shared" si="2"/>
        <v>4</v>
      </c>
      <c r="I34" s="79">
        <f t="shared" si="3"/>
        <v>4</v>
      </c>
      <c r="J34" s="76">
        <v>71.680000000000007</v>
      </c>
      <c r="K34" s="77">
        <v>118</v>
      </c>
      <c r="L34">
        <f t="shared" si="0"/>
        <v>4.9276670762986301</v>
      </c>
      <c r="M34">
        <f t="shared" si="1"/>
        <v>4.9312255832088923</v>
      </c>
    </row>
    <row r="35" spans="1:13">
      <c r="A35" s="77">
        <v>4</v>
      </c>
      <c r="B35" s="77">
        <v>4</v>
      </c>
      <c r="C35" s="77">
        <v>4</v>
      </c>
      <c r="D35" s="77">
        <v>4</v>
      </c>
      <c r="E35" s="77">
        <v>4</v>
      </c>
      <c r="F35" s="77">
        <v>4</v>
      </c>
      <c r="G35" s="77">
        <v>4</v>
      </c>
      <c r="H35" s="79">
        <f t="shared" si="2"/>
        <v>4</v>
      </c>
      <c r="I35" s="79">
        <f t="shared" si="3"/>
        <v>4</v>
      </c>
      <c r="J35" s="76">
        <v>6.98</v>
      </c>
      <c r="K35" s="77">
        <v>27</v>
      </c>
      <c r="L35">
        <f t="shared" si="0"/>
        <v>0.12967456232442579</v>
      </c>
      <c r="M35">
        <f t="shared" si="1"/>
        <v>0.26125698454086838</v>
      </c>
    </row>
    <row r="36" spans="1:13">
      <c r="A36" s="77">
        <v>3</v>
      </c>
      <c r="B36" s="77">
        <v>3</v>
      </c>
      <c r="C36" s="77">
        <v>3</v>
      </c>
      <c r="D36" s="77">
        <v>3</v>
      </c>
      <c r="E36" s="77">
        <v>3</v>
      </c>
      <c r="F36" s="77">
        <v>3</v>
      </c>
      <c r="G36" s="77">
        <v>3</v>
      </c>
      <c r="H36" s="79">
        <f t="shared" si="2"/>
        <v>3</v>
      </c>
      <c r="I36" s="79">
        <f t="shared" si="3"/>
        <v>3</v>
      </c>
      <c r="J36" s="76">
        <v>2.96</v>
      </c>
      <c r="K36" s="77">
        <v>11</v>
      </c>
      <c r="L36">
        <f t="shared" si="0"/>
        <v>-0.16843872834290502</v>
      </c>
      <c r="M36">
        <f t="shared" si="1"/>
        <v>-0.55983639544471808</v>
      </c>
    </row>
    <row r="37" spans="1:13">
      <c r="A37" s="77">
        <v>2</v>
      </c>
      <c r="B37" s="77">
        <v>2</v>
      </c>
      <c r="C37" s="77">
        <v>2</v>
      </c>
      <c r="D37" s="77">
        <v>2</v>
      </c>
      <c r="E37" s="77">
        <v>2</v>
      </c>
      <c r="F37" s="77">
        <v>1</v>
      </c>
      <c r="G37" s="77">
        <v>2</v>
      </c>
      <c r="H37" s="79">
        <f t="shared" si="2"/>
        <v>2</v>
      </c>
      <c r="I37" s="79">
        <f t="shared" si="3"/>
        <v>1.6666666666666667</v>
      </c>
      <c r="J37" s="76">
        <v>0.03</v>
      </c>
      <c r="K37" s="77">
        <v>21</v>
      </c>
      <c r="L37">
        <f t="shared" si="0"/>
        <v>-0.38572030586909384</v>
      </c>
      <c r="M37">
        <f t="shared" si="1"/>
        <v>-4.6653032953726553E-2</v>
      </c>
    </row>
    <row r="38" spans="1:13">
      <c r="A38" s="77">
        <v>4</v>
      </c>
      <c r="B38" s="77">
        <v>4</v>
      </c>
      <c r="C38" s="77">
        <v>4</v>
      </c>
      <c r="D38" s="77">
        <v>3</v>
      </c>
      <c r="E38" s="77">
        <v>3</v>
      </c>
      <c r="F38" s="77">
        <v>4</v>
      </c>
      <c r="G38" s="77">
        <v>4</v>
      </c>
      <c r="H38" s="79">
        <f t="shared" si="2"/>
        <v>4</v>
      </c>
      <c r="I38" s="79">
        <f t="shared" si="3"/>
        <v>3.3333333333333335</v>
      </c>
      <c r="J38" s="76">
        <v>0.01</v>
      </c>
      <c r="K38" s="77">
        <v>5</v>
      </c>
      <c r="L38">
        <f t="shared" si="0"/>
        <v>-0.38720345656893135</v>
      </c>
      <c r="M38">
        <f t="shared" si="1"/>
        <v>-0.86774641293931309</v>
      </c>
    </row>
    <row r="39" spans="1:13">
      <c r="A39" s="77">
        <v>4</v>
      </c>
      <c r="B39" s="77">
        <v>4</v>
      </c>
      <c r="C39" s="77">
        <v>4</v>
      </c>
      <c r="D39" s="77">
        <v>4</v>
      </c>
      <c r="E39" s="77">
        <v>4</v>
      </c>
      <c r="F39" s="77">
        <v>4</v>
      </c>
      <c r="G39" s="77">
        <v>3</v>
      </c>
      <c r="H39" s="79">
        <f t="shared" si="2"/>
        <v>4</v>
      </c>
      <c r="I39" s="79">
        <f t="shared" si="3"/>
        <v>4</v>
      </c>
      <c r="J39" s="76">
        <v>5.96</v>
      </c>
      <c r="K39" s="77">
        <v>33</v>
      </c>
      <c r="L39">
        <f t="shared" si="0"/>
        <v>5.4033876632714965E-2</v>
      </c>
      <c r="M39">
        <f t="shared" si="1"/>
        <v>0.56916700203546333</v>
      </c>
    </row>
    <row r="40" spans="1:13">
      <c r="A40" s="77">
        <v>4</v>
      </c>
      <c r="B40" s="77">
        <v>4</v>
      </c>
      <c r="C40" s="77">
        <v>4</v>
      </c>
      <c r="D40" s="77">
        <v>4</v>
      </c>
      <c r="E40" s="77">
        <v>4</v>
      </c>
      <c r="F40" s="77">
        <v>4</v>
      </c>
      <c r="G40" s="77">
        <v>4</v>
      </c>
      <c r="H40" s="79">
        <f t="shared" si="2"/>
        <v>4</v>
      </c>
      <c r="I40" s="79">
        <f t="shared" si="3"/>
        <v>4</v>
      </c>
      <c r="J40" s="76">
        <v>6.16</v>
      </c>
      <c r="K40" s="77">
        <v>29</v>
      </c>
      <c r="L40">
        <f t="shared" si="0"/>
        <v>6.8865383631089641E-2</v>
      </c>
      <c r="M40">
        <f t="shared" si="1"/>
        <v>0.36389365703906668</v>
      </c>
    </row>
    <row r="41" spans="1:13">
      <c r="A41" s="77">
        <v>4</v>
      </c>
      <c r="B41" s="77">
        <v>4</v>
      </c>
      <c r="C41" s="77">
        <v>4</v>
      </c>
      <c r="D41" s="77">
        <v>4</v>
      </c>
      <c r="E41" s="77">
        <v>4</v>
      </c>
      <c r="F41" s="77">
        <v>4</v>
      </c>
      <c r="G41" s="77">
        <v>3</v>
      </c>
      <c r="H41" s="79">
        <f t="shared" si="2"/>
        <v>4</v>
      </c>
      <c r="I41" s="79">
        <f t="shared" si="3"/>
        <v>4</v>
      </c>
      <c r="J41" s="76">
        <v>0.96</v>
      </c>
      <c r="K41" s="77">
        <v>2</v>
      </c>
      <c r="L41">
        <f t="shared" si="0"/>
        <v>-0.31675379832665168</v>
      </c>
      <c r="M41">
        <f t="shared" si="1"/>
        <v>-1.0217014216866105</v>
      </c>
    </row>
    <row r="42" spans="1:13">
      <c r="A42" s="77">
        <v>2</v>
      </c>
      <c r="B42" s="77">
        <v>2</v>
      </c>
      <c r="C42" s="77">
        <v>3</v>
      </c>
      <c r="D42" s="77">
        <v>3</v>
      </c>
      <c r="E42" s="77">
        <v>4</v>
      </c>
      <c r="F42" s="77">
        <v>3</v>
      </c>
      <c r="G42" s="77">
        <v>3</v>
      </c>
      <c r="H42" s="79">
        <f t="shared" si="2"/>
        <v>2.3333333333333335</v>
      </c>
      <c r="I42" s="79">
        <f t="shared" si="3"/>
        <v>3.3333333333333335</v>
      </c>
      <c r="J42" s="76">
        <v>0.03</v>
      </c>
      <c r="K42" s="77">
        <v>25</v>
      </c>
      <c r="L42">
        <f t="shared" si="0"/>
        <v>-0.38572030586909384</v>
      </c>
      <c r="M42">
        <f t="shared" si="1"/>
        <v>0.15862031204267008</v>
      </c>
    </row>
    <row r="43" spans="1:13">
      <c r="A43" s="77">
        <v>4</v>
      </c>
      <c r="B43" s="77">
        <v>4</v>
      </c>
      <c r="C43" s="77">
        <v>4</v>
      </c>
      <c r="D43" s="77">
        <v>4</v>
      </c>
      <c r="E43" s="77">
        <v>4</v>
      </c>
      <c r="F43" s="77">
        <v>4</v>
      </c>
      <c r="G43" s="77">
        <v>3</v>
      </c>
      <c r="H43" s="79">
        <f t="shared" si="2"/>
        <v>4</v>
      </c>
      <c r="I43" s="79">
        <f t="shared" si="3"/>
        <v>4</v>
      </c>
      <c r="J43" s="76">
        <v>0.1</v>
      </c>
      <c r="K43" s="77">
        <v>61</v>
      </c>
      <c r="L43">
        <f t="shared" si="0"/>
        <v>-0.38052927841966272</v>
      </c>
      <c r="M43">
        <f t="shared" si="1"/>
        <v>2.00608041701024</v>
      </c>
    </row>
    <row r="44" spans="1:13">
      <c r="A44" s="77">
        <v>2</v>
      </c>
      <c r="B44" s="77">
        <v>2</v>
      </c>
      <c r="C44" s="77">
        <v>2</v>
      </c>
      <c r="D44" s="77">
        <v>2</v>
      </c>
      <c r="E44" s="77">
        <v>2</v>
      </c>
      <c r="F44" s="77">
        <v>2</v>
      </c>
      <c r="G44" s="77">
        <v>2</v>
      </c>
      <c r="H44" s="79">
        <f t="shared" si="2"/>
        <v>2</v>
      </c>
      <c r="I44" s="79">
        <f t="shared" si="3"/>
        <v>2</v>
      </c>
      <c r="J44" s="76">
        <v>0.05</v>
      </c>
      <c r="K44" s="77">
        <v>15</v>
      </c>
      <c r="L44">
        <f t="shared" si="0"/>
        <v>-0.38423715516925638</v>
      </c>
      <c r="M44">
        <f t="shared" si="1"/>
        <v>-0.35456305044832148</v>
      </c>
    </row>
    <row r="45" spans="1:13">
      <c r="A45" s="77">
        <v>3</v>
      </c>
      <c r="B45" s="77">
        <v>3</v>
      </c>
      <c r="C45" s="77">
        <v>4</v>
      </c>
      <c r="D45" s="77">
        <v>3</v>
      </c>
      <c r="E45" s="77">
        <v>4</v>
      </c>
      <c r="F45" s="77">
        <v>4</v>
      </c>
      <c r="G45" s="77">
        <v>4</v>
      </c>
      <c r="H45" s="79">
        <f t="shared" si="2"/>
        <v>3.3333333333333335</v>
      </c>
      <c r="I45" s="79">
        <f t="shared" si="3"/>
        <v>3.6666666666666665</v>
      </c>
      <c r="J45" s="76">
        <v>0.01</v>
      </c>
      <c r="K45" s="77">
        <v>11</v>
      </c>
      <c r="L45">
        <f t="shared" si="0"/>
        <v>-0.38720345656893135</v>
      </c>
      <c r="M45">
        <f t="shared" si="1"/>
        <v>-0.55983639544471808</v>
      </c>
    </row>
    <row r="46" spans="1:13">
      <c r="A46" s="77">
        <v>4</v>
      </c>
      <c r="B46" s="77">
        <v>4</v>
      </c>
      <c r="C46" s="77">
        <v>4</v>
      </c>
      <c r="D46" s="77">
        <v>4</v>
      </c>
      <c r="E46" s="77">
        <v>4</v>
      </c>
      <c r="F46" s="77">
        <v>4</v>
      </c>
      <c r="G46" s="77">
        <v>4</v>
      </c>
      <c r="H46" s="79">
        <f t="shared" si="2"/>
        <v>4</v>
      </c>
      <c r="I46" s="79">
        <f t="shared" si="3"/>
        <v>4</v>
      </c>
      <c r="J46" s="76">
        <v>0.02</v>
      </c>
      <c r="K46" s="77">
        <v>2</v>
      </c>
      <c r="L46">
        <f t="shared" si="0"/>
        <v>-0.38646188121901259</v>
      </c>
      <c r="M46">
        <f t="shared" si="1"/>
        <v>-1.0217014216866105</v>
      </c>
    </row>
    <row r="47" spans="1:13">
      <c r="A47" s="77">
        <v>2</v>
      </c>
      <c r="B47" s="77">
        <v>2</v>
      </c>
      <c r="C47" s="77">
        <v>3</v>
      </c>
      <c r="D47" s="77">
        <v>1</v>
      </c>
      <c r="E47" s="77">
        <v>3</v>
      </c>
      <c r="F47" s="77">
        <v>1</v>
      </c>
      <c r="G47" s="77">
        <v>2</v>
      </c>
      <c r="H47" s="79">
        <f t="shared" si="2"/>
        <v>2.3333333333333335</v>
      </c>
      <c r="I47" s="79">
        <f t="shared" si="3"/>
        <v>1.6666666666666667</v>
      </c>
      <c r="J47" s="76">
        <v>0.03</v>
      </c>
      <c r="K47" s="77">
        <v>31</v>
      </c>
      <c r="L47">
        <f t="shared" si="0"/>
        <v>-0.38572030586909384</v>
      </c>
      <c r="M47">
        <f t="shared" si="1"/>
        <v>0.46653032953726503</v>
      </c>
    </row>
    <row r="48" spans="1:13">
      <c r="A48" s="77">
        <v>2</v>
      </c>
      <c r="B48" s="77">
        <v>4</v>
      </c>
      <c r="C48" s="77">
        <v>4</v>
      </c>
      <c r="D48" s="77">
        <v>2</v>
      </c>
      <c r="E48" s="77">
        <v>3</v>
      </c>
      <c r="F48" s="77">
        <v>2</v>
      </c>
      <c r="G48" s="77">
        <v>2</v>
      </c>
      <c r="H48" s="79">
        <f t="shared" si="2"/>
        <v>3.3333333333333335</v>
      </c>
      <c r="I48" s="79">
        <f t="shared" si="3"/>
        <v>2.3333333333333335</v>
      </c>
      <c r="J48" s="80">
        <v>1.06</v>
      </c>
      <c r="K48" s="77">
        <v>20</v>
      </c>
      <c r="L48">
        <f t="shared" si="0"/>
        <v>-0.30933804482746435</v>
      </c>
      <c r="M48">
        <f t="shared" si="1"/>
        <v>-9.7971369202825717E-2</v>
      </c>
    </row>
    <row r="49" spans="1:13">
      <c r="A49" s="77">
        <v>3</v>
      </c>
      <c r="B49" s="77">
        <v>3</v>
      </c>
      <c r="C49" s="77">
        <v>3</v>
      </c>
      <c r="D49" s="77">
        <v>3</v>
      </c>
      <c r="E49" s="77">
        <v>3</v>
      </c>
      <c r="F49" s="77">
        <v>3</v>
      </c>
      <c r="G49" s="77">
        <v>2</v>
      </c>
      <c r="H49" s="79">
        <f t="shared" si="2"/>
        <v>3</v>
      </c>
      <c r="I49" s="79">
        <f t="shared" si="3"/>
        <v>3</v>
      </c>
      <c r="J49" s="76">
        <v>0.21</v>
      </c>
      <c r="K49" s="77">
        <v>2</v>
      </c>
      <c r="L49">
        <f t="shared" si="0"/>
        <v>-0.37237194957055664</v>
      </c>
      <c r="M49">
        <f t="shared" si="1"/>
        <v>-1.0217014216866105</v>
      </c>
    </row>
    <row r="50" spans="1:13">
      <c r="A50" s="77">
        <v>2</v>
      </c>
      <c r="B50" s="77">
        <v>2</v>
      </c>
      <c r="C50" s="77">
        <v>4</v>
      </c>
      <c r="D50" s="77">
        <v>2</v>
      </c>
      <c r="E50" s="77">
        <v>2</v>
      </c>
      <c r="F50" s="77">
        <v>3</v>
      </c>
      <c r="G50" s="77">
        <v>2</v>
      </c>
      <c r="H50" s="79">
        <f t="shared" si="2"/>
        <v>2.6666666666666665</v>
      </c>
      <c r="I50" s="79">
        <f t="shared" si="3"/>
        <v>2.3333333333333335</v>
      </c>
      <c r="J50" s="76">
        <v>0.24</v>
      </c>
      <c r="K50" s="77">
        <v>15</v>
      </c>
      <c r="L50">
        <f t="shared" si="0"/>
        <v>-0.37014722352080043</v>
      </c>
      <c r="M50">
        <f t="shared" si="1"/>
        <v>-0.35456305044832148</v>
      </c>
    </row>
    <row r="53" spans="1:13" ht="15.75" thickBot="1">
      <c r="A53" s="153"/>
      <c r="B53" s="153"/>
      <c r="C53" s="153"/>
      <c r="D53" s="153"/>
      <c r="E53" s="153"/>
      <c r="F53" s="153"/>
      <c r="G53" s="153"/>
      <c r="H53" s="89" t="s">
        <v>711</v>
      </c>
    </row>
    <row r="54" spans="1:13">
      <c r="A54" s="153"/>
      <c r="B54" s="153"/>
      <c r="C54" s="153"/>
      <c r="D54" s="153"/>
      <c r="E54" s="153"/>
      <c r="F54" s="153"/>
      <c r="G54" s="153"/>
      <c r="H54" s="22"/>
      <c r="I54" s="22" t="s">
        <v>702</v>
      </c>
      <c r="J54" s="22" t="s">
        <v>703</v>
      </c>
      <c r="K54" s="22" t="s">
        <v>704</v>
      </c>
      <c r="L54" s="22" t="s">
        <v>705</v>
      </c>
      <c r="M54" s="22" t="s">
        <v>706</v>
      </c>
    </row>
    <row r="55" spans="1:13">
      <c r="A55" s="153"/>
      <c r="B55" s="153"/>
      <c r="C55" s="153"/>
      <c r="D55" s="153"/>
      <c r="E55" s="153"/>
      <c r="F55" s="153"/>
      <c r="G55" s="153"/>
      <c r="H55" t="s">
        <v>702</v>
      </c>
      <c r="I55">
        <v>1</v>
      </c>
      <c r="J55"/>
      <c r="K55"/>
    </row>
    <row r="56" spans="1:13">
      <c r="A56" s="153"/>
      <c r="B56" s="153"/>
      <c r="C56" s="153"/>
      <c r="D56" s="153"/>
      <c r="E56" s="153"/>
      <c r="F56" s="153"/>
      <c r="G56" s="153"/>
      <c r="H56" t="s">
        <v>703</v>
      </c>
      <c r="I56">
        <v>0.51082500394173203</v>
      </c>
      <c r="J56">
        <v>1</v>
      </c>
      <c r="K56"/>
    </row>
    <row r="57" spans="1:13">
      <c r="A57" s="153"/>
      <c r="B57" s="153"/>
      <c r="C57" s="153"/>
      <c r="D57" s="153"/>
      <c r="E57" s="153"/>
      <c r="F57" s="153"/>
      <c r="G57" s="153"/>
      <c r="H57" t="s">
        <v>704</v>
      </c>
      <c r="I57">
        <v>0.57992816885588661</v>
      </c>
      <c r="J57">
        <v>0.87564020826390232</v>
      </c>
      <c r="K57">
        <v>1</v>
      </c>
    </row>
    <row r="58" spans="1:13">
      <c r="A58" s="153"/>
      <c r="B58" s="153"/>
      <c r="C58" s="153"/>
      <c r="D58" s="153"/>
      <c r="E58" s="153"/>
      <c r="F58" s="153"/>
      <c r="G58" s="153"/>
      <c r="H58" t="s">
        <v>705</v>
      </c>
      <c r="I58">
        <v>0.12072386017417977</v>
      </c>
      <c r="J58">
        <v>2.927898331841941E-2</v>
      </c>
      <c r="K58">
        <v>5.0088480557231854E-3</v>
      </c>
      <c r="L58">
        <v>1</v>
      </c>
    </row>
    <row r="59" spans="1:13" ht="15.75" thickBot="1">
      <c r="A59" s="153"/>
      <c r="B59" s="153"/>
      <c r="C59" s="153"/>
      <c r="D59" s="153"/>
      <c r="E59" s="153"/>
      <c r="F59" s="153"/>
      <c r="G59" s="153"/>
      <c r="H59" s="21" t="s">
        <v>706</v>
      </c>
      <c r="I59" s="21">
        <v>1.8561442381005003E-2</v>
      </c>
      <c r="J59" s="21">
        <v>0.24321066197799859</v>
      </c>
      <c r="K59" s="21">
        <v>0.20282480961140376</v>
      </c>
      <c r="L59" s="21">
        <v>0.50600386233333916</v>
      </c>
      <c r="M59" s="21">
        <v>1</v>
      </c>
    </row>
    <row r="60" spans="1:13">
      <c r="A60" s="153"/>
      <c r="B60" s="153"/>
      <c r="C60" s="153"/>
      <c r="D60" s="153"/>
      <c r="E60" s="153"/>
      <c r="F60" s="153"/>
      <c r="G60" s="153"/>
    </row>
    <row r="61" spans="1:13">
      <c r="A61" s="153"/>
      <c r="B61" s="153"/>
      <c r="C61" s="153"/>
      <c r="D61" s="153"/>
      <c r="E61" s="153"/>
      <c r="F61" s="153"/>
      <c r="G61" s="153"/>
    </row>
    <row r="62" spans="1:13" ht="15.75" thickBot="1">
      <c r="A62" s="153"/>
      <c r="B62" s="153"/>
      <c r="C62" s="153"/>
      <c r="D62" s="153"/>
      <c r="E62" s="153"/>
      <c r="F62" s="153"/>
      <c r="G62" s="153"/>
      <c r="H62" s="89" t="s">
        <v>712</v>
      </c>
      <c r="I62" s="76"/>
    </row>
    <row r="63" spans="1:13" ht="15.75" thickBot="1">
      <c r="A63" s="153"/>
      <c r="B63" s="153"/>
      <c r="C63" s="153"/>
      <c r="D63" s="153"/>
      <c r="E63" s="153"/>
      <c r="F63" s="153"/>
      <c r="G63" s="153"/>
      <c r="H63" s="85" t="s">
        <v>708</v>
      </c>
      <c r="I63" s="86" t="s">
        <v>689</v>
      </c>
    </row>
    <row r="64" spans="1:13">
      <c r="A64" s="153"/>
      <c r="B64" s="153"/>
      <c r="C64" s="153"/>
      <c r="D64" s="153"/>
      <c r="E64" s="153"/>
      <c r="F64" s="153"/>
      <c r="G64" s="153"/>
      <c r="H64" s="83" t="s">
        <v>709</v>
      </c>
      <c r="I64" s="84">
        <f>AVERAGE(A7:A50)</f>
        <v>2.9772727272727271</v>
      </c>
    </row>
    <row r="65" spans="1:9">
      <c r="A65" s="153"/>
      <c r="B65" s="153"/>
      <c r="C65" s="153"/>
      <c r="D65" s="153"/>
      <c r="E65" s="153"/>
      <c r="F65" s="153"/>
      <c r="G65" s="153"/>
      <c r="H65" s="43" t="s">
        <v>697</v>
      </c>
      <c r="I65" s="82">
        <f>AVERAGE(B7:B50)</f>
        <v>3</v>
      </c>
    </row>
    <row r="66" spans="1:9">
      <c r="A66" s="153"/>
      <c r="B66" s="153"/>
      <c r="C66" s="153"/>
      <c r="D66" s="153"/>
      <c r="E66" s="153"/>
      <c r="F66" s="153"/>
      <c r="G66" s="153"/>
      <c r="H66" s="43" t="s">
        <v>698</v>
      </c>
      <c r="I66" s="82">
        <f>AVERAGE(C7:C50)</f>
        <v>3.25</v>
      </c>
    </row>
    <row r="67" spans="1:9">
      <c r="A67" s="153"/>
      <c r="B67" s="153"/>
      <c r="C67" s="153"/>
      <c r="D67" s="153"/>
      <c r="E67" s="153"/>
      <c r="F67" s="153"/>
      <c r="G67" s="153"/>
      <c r="H67" s="43" t="s">
        <v>710</v>
      </c>
      <c r="I67" s="82">
        <f>AVERAGE(D7:D50)</f>
        <v>3</v>
      </c>
    </row>
    <row r="68" spans="1:9">
      <c r="A68" s="153"/>
      <c r="B68" s="153"/>
      <c r="C68" s="153"/>
      <c r="D68" s="153"/>
      <c r="E68" s="153"/>
      <c r="F68" s="153"/>
      <c r="G68" s="153"/>
      <c r="H68" s="43" t="s">
        <v>700</v>
      </c>
      <c r="I68" s="82">
        <f>AVERAGE(E7:E50)</f>
        <v>3.0681818181818183</v>
      </c>
    </row>
    <row r="69" spans="1:9">
      <c r="A69" s="153"/>
      <c r="B69" s="153"/>
      <c r="C69" s="153"/>
      <c r="D69" s="153"/>
      <c r="E69" s="153"/>
      <c r="F69" s="153"/>
      <c r="G69" s="153"/>
      <c r="H69" s="43" t="s">
        <v>701</v>
      </c>
      <c r="I69" s="82">
        <f>AVERAGE(F7:F50)</f>
        <v>2.9772727272727271</v>
      </c>
    </row>
    <row r="70" spans="1:9" ht="15.75" thickBot="1">
      <c r="A70" s="153"/>
      <c r="B70" s="153"/>
      <c r="C70" s="153"/>
      <c r="D70" s="153"/>
      <c r="E70" s="153"/>
      <c r="F70" s="153"/>
      <c r="G70" s="153"/>
      <c r="H70" s="91" t="s">
        <v>702</v>
      </c>
      <c r="I70" s="92">
        <f>AVERAGE(G7:G50)</f>
        <v>2.9318181818181817</v>
      </c>
    </row>
    <row r="71" spans="1:9" ht="15.75" thickBot="1">
      <c r="A71" s="153"/>
      <c r="B71" s="153"/>
      <c r="C71" s="153"/>
      <c r="D71" s="153"/>
      <c r="E71" s="153"/>
      <c r="F71" s="153"/>
      <c r="G71" s="153"/>
      <c r="H71" s="93" t="s">
        <v>722</v>
      </c>
      <c r="I71" s="94">
        <f>AVERAGE(I64:I70)</f>
        <v>3.029220779220779</v>
      </c>
    </row>
    <row r="72" spans="1:9">
      <c r="A72" s="153"/>
      <c r="B72" s="153"/>
      <c r="C72" s="153"/>
      <c r="D72" s="153"/>
      <c r="E72" s="153"/>
      <c r="F72" s="153"/>
      <c r="G72" s="153"/>
    </row>
    <row r="73" spans="1:9">
      <c r="A73" s="153"/>
      <c r="B73" s="153"/>
      <c r="C73" s="153"/>
      <c r="D73" s="153"/>
      <c r="E73" s="153"/>
      <c r="F73" s="153"/>
      <c r="G73" s="153"/>
    </row>
    <row r="74" spans="1:9" ht="15.75" thickBot="1">
      <c r="A74" s="153"/>
      <c r="B74" s="153"/>
      <c r="C74" s="153"/>
      <c r="D74" s="153"/>
      <c r="E74" s="153"/>
      <c r="F74" s="153"/>
      <c r="G74" s="153"/>
      <c r="H74" s="89" t="s">
        <v>721</v>
      </c>
    </row>
    <row r="75" spans="1:9" ht="15.75" thickBot="1">
      <c r="A75" s="153"/>
      <c r="B75" s="153"/>
      <c r="C75" s="153"/>
      <c r="D75" s="153"/>
      <c r="E75" s="153"/>
      <c r="F75" s="153"/>
      <c r="G75" s="153"/>
      <c r="H75" s="85" t="s">
        <v>708</v>
      </c>
      <c r="I75" s="86" t="s">
        <v>81</v>
      </c>
    </row>
    <row r="76" spans="1:9">
      <c r="A76" s="153"/>
      <c r="B76" s="153"/>
      <c r="C76" s="153"/>
      <c r="D76" s="153"/>
      <c r="E76" s="153"/>
      <c r="F76" s="153"/>
      <c r="G76" s="153"/>
      <c r="H76" s="83" t="s">
        <v>709</v>
      </c>
      <c r="I76" s="84">
        <f>MEDIAN(A7:A50)</f>
        <v>3</v>
      </c>
    </row>
    <row r="77" spans="1:9">
      <c r="A77" s="153"/>
      <c r="B77" s="153"/>
      <c r="C77" s="153"/>
      <c r="D77" s="153"/>
      <c r="E77" s="153"/>
      <c r="F77" s="153"/>
      <c r="G77" s="153"/>
      <c r="H77" s="43" t="s">
        <v>697</v>
      </c>
      <c r="I77" s="84">
        <f>MEDIAN(B7:B50)</f>
        <v>3</v>
      </c>
    </row>
    <row r="78" spans="1:9">
      <c r="A78" s="153"/>
      <c r="B78" s="153"/>
      <c r="C78" s="153"/>
      <c r="D78" s="153"/>
      <c r="E78" s="153"/>
      <c r="F78" s="153"/>
      <c r="G78" s="153"/>
      <c r="H78" s="43" t="s">
        <v>698</v>
      </c>
      <c r="I78" s="84">
        <f>MEDIAN(C7:C50)</f>
        <v>4</v>
      </c>
    </row>
    <row r="79" spans="1:9">
      <c r="A79" s="153"/>
      <c r="B79" s="153"/>
      <c r="C79" s="153"/>
      <c r="D79" s="153"/>
      <c r="E79" s="153"/>
      <c r="F79" s="153"/>
      <c r="G79" s="153"/>
      <c r="H79" s="43" t="s">
        <v>710</v>
      </c>
      <c r="I79" s="84">
        <f>MEDIAN(D7:D50)</f>
        <v>3</v>
      </c>
    </row>
    <row r="80" spans="1:9">
      <c r="A80" s="153"/>
      <c r="B80" s="153"/>
      <c r="C80" s="153"/>
      <c r="D80" s="153"/>
      <c r="E80" s="153"/>
      <c r="F80" s="153"/>
      <c r="G80" s="153"/>
      <c r="H80" s="43" t="s">
        <v>700</v>
      </c>
      <c r="I80" s="84">
        <f>MEDIAN(A7:A50)</f>
        <v>3</v>
      </c>
    </row>
    <row r="81" spans="1:14">
      <c r="A81" s="153"/>
      <c r="B81" s="153"/>
      <c r="C81" s="153"/>
      <c r="D81" s="153"/>
      <c r="E81" s="153"/>
      <c r="F81" s="153"/>
      <c r="G81" s="153"/>
      <c r="H81" s="43" t="s">
        <v>701</v>
      </c>
      <c r="I81" s="84">
        <f>MEDIAN(E7:E50)</f>
        <v>3</v>
      </c>
    </row>
    <row r="82" spans="1:14" ht="15.75" thickBot="1">
      <c r="A82" s="153"/>
      <c r="B82" s="153"/>
      <c r="C82" s="153"/>
      <c r="D82" s="153"/>
      <c r="E82" s="153"/>
      <c r="F82" s="153"/>
      <c r="G82" s="153"/>
      <c r="H82" s="45" t="s">
        <v>702</v>
      </c>
      <c r="I82" s="95">
        <f>MEDIAN(F7:F50)</f>
        <v>3</v>
      </c>
    </row>
    <row r="83" spans="1:14">
      <c r="A83" s="153"/>
      <c r="B83" s="153"/>
      <c r="C83" s="153"/>
      <c r="D83" s="153"/>
      <c r="E83" s="153"/>
      <c r="F83" s="153"/>
      <c r="G83" s="153"/>
    </row>
    <row r="84" spans="1:14">
      <c r="A84" s="153"/>
      <c r="B84" s="153"/>
      <c r="C84" s="153"/>
      <c r="D84" s="153"/>
      <c r="E84" s="153"/>
      <c r="F84" s="153"/>
      <c r="G84" s="153"/>
    </row>
    <row r="85" spans="1:14">
      <c r="A85" s="153"/>
      <c r="B85" s="153"/>
      <c r="C85" s="153"/>
      <c r="D85" s="153"/>
      <c r="E85" s="153"/>
      <c r="F85" s="153"/>
      <c r="G85" s="153"/>
    </row>
    <row r="86" spans="1:14" ht="15.75" thickBot="1">
      <c r="A86" s="153"/>
      <c r="B86" s="153"/>
      <c r="C86" s="153"/>
      <c r="D86" s="153"/>
      <c r="E86" s="153"/>
      <c r="F86" s="153"/>
      <c r="G86" s="153"/>
      <c r="H86" s="89" t="s">
        <v>713</v>
      </c>
    </row>
    <row r="87" spans="1:14">
      <c r="A87" s="153"/>
      <c r="B87" s="153"/>
      <c r="C87" s="153"/>
      <c r="D87" s="153"/>
      <c r="E87" s="153"/>
      <c r="F87" s="153"/>
      <c r="G87" s="153"/>
      <c r="H87" s="41"/>
      <c r="I87" s="67" t="s">
        <v>714</v>
      </c>
      <c r="J87" s="68" t="s">
        <v>715</v>
      </c>
    </row>
    <row r="88" spans="1:14">
      <c r="A88" s="153"/>
      <c r="B88" s="153"/>
      <c r="C88" s="153"/>
      <c r="D88" s="153"/>
      <c r="E88" s="153"/>
      <c r="F88" s="153"/>
      <c r="G88" s="153"/>
      <c r="H88" s="69" t="s">
        <v>80</v>
      </c>
      <c r="I88" s="66">
        <f>AVERAGE(J7:J50)</f>
        <v>5.2313636363636364</v>
      </c>
      <c r="J88" s="70">
        <f>AVERAGE(K7:K50)</f>
        <v>21.90909090909091</v>
      </c>
    </row>
    <row r="89" spans="1:14" ht="15.75" thickBot="1">
      <c r="A89" s="153"/>
      <c r="B89" s="153"/>
      <c r="C89" s="153"/>
      <c r="D89" s="153"/>
      <c r="E89" s="153"/>
      <c r="F89" s="153"/>
      <c r="G89" s="153"/>
      <c r="H89" s="71" t="s">
        <v>685</v>
      </c>
      <c r="I89" s="72">
        <f>_xlfn.STDEV.S(J7:J50)</f>
        <v>13.484806366737873</v>
      </c>
      <c r="J89" s="46">
        <f>_xlfn.STDEV.S(K7:K50)</f>
        <v>19.486212396793242</v>
      </c>
    </row>
    <row r="90" spans="1:14">
      <c r="A90" s="153"/>
      <c r="B90" s="153"/>
      <c r="C90" s="153"/>
      <c r="D90" s="153"/>
      <c r="E90" s="153"/>
      <c r="F90" s="153"/>
      <c r="G90" s="153"/>
    </row>
    <row r="91" spans="1:14" ht="15.75" thickBot="1">
      <c r="A91" s="153"/>
      <c r="B91" s="153"/>
      <c r="C91" s="153"/>
      <c r="D91" s="153"/>
      <c r="E91" s="153"/>
      <c r="F91" s="153"/>
      <c r="G91" s="153"/>
      <c r="H91" s="89" t="s">
        <v>718</v>
      </c>
    </row>
    <row r="92" spans="1:14">
      <c r="A92" s="153"/>
      <c r="B92" s="153"/>
      <c r="C92" s="153"/>
      <c r="D92" s="153"/>
      <c r="E92" s="153"/>
      <c r="F92" s="153"/>
      <c r="G92" s="153"/>
      <c r="H92" s="41" t="s">
        <v>720</v>
      </c>
      <c r="I92" s="75" t="s">
        <v>719</v>
      </c>
    </row>
    <row r="93" spans="1:14" ht="15.75" thickBot="1">
      <c r="A93" s="153"/>
      <c r="B93" s="153"/>
      <c r="C93" s="153"/>
      <c r="D93" s="153"/>
      <c r="E93" s="153"/>
      <c r="F93" s="153"/>
      <c r="G93" s="153"/>
      <c r="H93" s="45" cm="1">
        <f t="array" ref="H93">SUMPRODUCT(--(ABS(L7:L50) &gt; 3))</f>
        <v>2</v>
      </c>
      <c r="I93" s="46" cm="1">
        <f t="array" ref="I93">SUMPRODUCT(--(ABS(M7:M50) &gt; 3))</f>
        <v>1</v>
      </c>
    </row>
    <row r="94" spans="1:14">
      <c r="A94" s="153"/>
      <c r="B94" s="153"/>
      <c r="C94" s="153"/>
      <c r="D94" s="153"/>
      <c r="E94" s="153"/>
      <c r="F94" s="153"/>
      <c r="G94" s="153"/>
      <c r="H94"/>
      <c r="I94"/>
    </row>
    <row r="95" spans="1:14">
      <c r="A95" s="153"/>
      <c r="B95" s="153"/>
      <c r="C95" s="153"/>
      <c r="D95" s="153"/>
      <c r="E95" s="153"/>
      <c r="F95" s="153"/>
      <c r="G95" s="153"/>
      <c r="H95" s="89" t="s">
        <v>724</v>
      </c>
    </row>
    <row r="96" spans="1:14" ht="15" customHeight="1">
      <c r="A96" s="153"/>
      <c r="B96" s="153"/>
      <c r="C96" s="153"/>
      <c r="D96" s="153"/>
      <c r="E96" s="153"/>
      <c r="F96" s="153"/>
      <c r="G96" s="153"/>
      <c r="H96" s="154" t="s">
        <v>723</v>
      </c>
      <c r="I96" s="154"/>
      <c r="J96" s="154"/>
      <c r="K96" s="154"/>
      <c r="L96" s="97"/>
      <c r="M96" s="97"/>
      <c r="N96" s="97"/>
    </row>
    <row r="97" spans="1:14">
      <c r="A97" s="153"/>
      <c r="B97" s="153"/>
      <c r="C97" s="153"/>
      <c r="D97" s="153"/>
      <c r="E97" s="153"/>
      <c r="F97" s="153"/>
      <c r="G97" s="153"/>
      <c r="H97" s="154"/>
      <c r="I97" s="154"/>
      <c r="J97" s="154"/>
      <c r="K97" s="154"/>
      <c r="L97" s="97"/>
      <c r="M97" s="97"/>
      <c r="N97" s="97"/>
    </row>
    <row r="98" spans="1:14">
      <c r="A98" s="153"/>
      <c r="B98" s="153"/>
      <c r="C98" s="153"/>
      <c r="D98" s="153"/>
      <c r="E98" s="153"/>
      <c r="F98" s="153"/>
      <c r="G98" s="153"/>
      <c r="H98" s="154"/>
      <c r="I98" s="154"/>
      <c r="J98" s="154"/>
      <c r="K98" s="154"/>
      <c r="L98" s="97"/>
      <c r="M98" s="97"/>
      <c r="N98" s="97"/>
    </row>
    <row r="99" spans="1:14">
      <c r="A99" s="153"/>
      <c r="B99" s="153"/>
      <c r="C99" s="153"/>
      <c r="D99" s="153"/>
      <c r="E99" s="153"/>
      <c r="F99" s="153"/>
      <c r="G99" s="153"/>
      <c r="H99" s="154"/>
      <c r="I99" s="154"/>
      <c r="J99" s="154"/>
      <c r="K99" s="154"/>
      <c r="L99" s="97"/>
      <c r="M99" s="97"/>
      <c r="N99" s="97"/>
    </row>
    <row r="100" spans="1:14">
      <c r="A100" s="153"/>
      <c r="B100" s="153"/>
      <c r="C100" s="153"/>
      <c r="D100" s="153"/>
      <c r="E100" s="153"/>
      <c r="F100" s="153"/>
      <c r="G100" s="153"/>
      <c r="H100" s="154"/>
      <c r="I100" s="154"/>
      <c r="J100" s="154"/>
      <c r="K100" s="154"/>
      <c r="L100" s="97"/>
      <c r="M100" s="97"/>
      <c r="N100" s="97"/>
    </row>
    <row r="101" spans="1:14">
      <c r="A101" s="153"/>
      <c r="B101" s="153"/>
      <c r="C101" s="153"/>
      <c r="D101" s="153"/>
      <c r="E101" s="153"/>
      <c r="F101" s="153"/>
      <c r="G101" s="153"/>
      <c r="H101" s="154"/>
      <c r="I101" s="154"/>
      <c r="J101" s="154"/>
      <c r="K101" s="154"/>
      <c r="L101" s="97"/>
      <c r="M101" s="97"/>
      <c r="N101" s="97"/>
    </row>
    <row r="102" spans="1:14">
      <c r="A102" s="153"/>
      <c r="B102" s="153"/>
      <c r="C102" s="153"/>
      <c r="D102" s="153"/>
      <c r="E102" s="153"/>
      <c r="F102" s="153"/>
      <c r="G102" s="153"/>
      <c r="H102" s="154"/>
      <c r="I102" s="154"/>
      <c r="J102" s="154"/>
      <c r="K102" s="154"/>
      <c r="L102" s="97"/>
      <c r="M102" s="97"/>
      <c r="N102" s="97"/>
    </row>
    <row r="103" spans="1:14">
      <c r="A103" s="153"/>
      <c r="B103" s="153"/>
      <c r="C103" s="153"/>
      <c r="D103" s="153"/>
      <c r="E103" s="153"/>
      <c r="F103" s="153"/>
      <c r="G103" s="153"/>
      <c r="H103" s="154"/>
      <c r="I103" s="154"/>
      <c r="J103" s="154"/>
      <c r="K103" s="154"/>
      <c r="L103" s="97"/>
      <c r="M103" s="97"/>
      <c r="N103" s="97"/>
    </row>
    <row r="104" spans="1:14">
      <c r="A104" s="153"/>
      <c r="B104" s="153"/>
      <c r="C104" s="153"/>
      <c r="D104" s="153"/>
      <c r="E104" s="153"/>
      <c r="F104" s="153"/>
      <c r="G104" s="153"/>
      <c r="H104" s="154"/>
      <c r="I104" s="154"/>
      <c r="J104" s="154"/>
      <c r="K104" s="154"/>
      <c r="L104" s="97"/>
      <c r="M104" s="97"/>
      <c r="N104" s="97"/>
    </row>
    <row r="105" spans="1:14">
      <c r="A105" s="153"/>
      <c r="B105" s="153"/>
      <c r="C105" s="153"/>
      <c r="D105" s="153"/>
      <c r="E105" s="153"/>
      <c r="F105" s="153"/>
      <c r="G105" s="153"/>
      <c r="H105" s="154"/>
      <c r="I105" s="154"/>
      <c r="J105" s="154"/>
      <c r="K105" s="154"/>
      <c r="L105" s="97"/>
      <c r="M105" s="97"/>
      <c r="N105" s="97"/>
    </row>
    <row r="106" spans="1:14">
      <c r="A106" s="153"/>
      <c r="B106" s="153"/>
      <c r="C106" s="153"/>
      <c r="D106" s="153"/>
      <c r="E106" s="153"/>
      <c r="F106" s="153"/>
      <c r="G106" s="153"/>
      <c r="H106" s="154"/>
      <c r="I106" s="154"/>
      <c r="J106" s="154"/>
      <c r="K106" s="154"/>
      <c r="L106" s="97"/>
      <c r="M106" s="97"/>
      <c r="N106" s="97"/>
    </row>
    <row r="107" spans="1:14">
      <c r="A107" s="153"/>
      <c r="B107" s="153"/>
      <c r="C107" s="153"/>
      <c r="D107" s="153"/>
      <c r="E107" s="153"/>
      <c r="F107" s="153"/>
      <c r="G107" s="153"/>
      <c r="H107" s="154"/>
      <c r="I107" s="154"/>
      <c r="J107" s="154"/>
      <c r="K107" s="154"/>
      <c r="L107" s="97"/>
      <c r="M107" s="97"/>
      <c r="N107" s="97"/>
    </row>
    <row r="108" spans="1:14">
      <c r="A108" s="153"/>
      <c r="B108" s="153"/>
      <c r="C108" s="153"/>
      <c r="D108" s="153"/>
      <c r="E108" s="153"/>
      <c r="F108" s="153"/>
      <c r="G108" s="153"/>
      <c r="H108" s="154"/>
      <c r="I108" s="154"/>
      <c r="J108" s="154"/>
      <c r="K108" s="154"/>
      <c r="L108" s="97"/>
      <c r="M108" s="97"/>
      <c r="N108" s="97"/>
    </row>
    <row r="109" spans="1:14">
      <c r="A109" s="153"/>
      <c r="B109" s="153"/>
      <c r="C109" s="153"/>
      <c r="D109" s="153"/>
      <c r="E109" s="153"/>
      <c r="F109" s="153"/>
      <c r="G109" s="153"/>
      <c r="H109" s="154"/>
      <c r="I109" s="154"/>
      <c r="J109" s="154"/>
      <c r="K109" s="154"/>
      <c r="L109" s="97"/>
      <c r="M109" s="97"/>
      <c r="N109" s="97"/>
    </row>
    <row r="110" spans="1:14">
      <c r="A110" s="153"/>
      <c r="B110" s="153"/>
      <c r="C110" s="153"/>
      <c r="D110" s="153"/>
      <c r="E110" s="153"/>
      <c r="F110" s="153"/>
      <c r="G110" s="153"/>
      <c r="H110" s="154"/>
      <c r="I110" s="154"/>
      <c r="J110" s="154"/>
      <c r="K110" s="154"/>
      <c r="L110" s="97"/>
      <c r="M110" s="97"/>
      <c r="N110" s="97"/>
    </row>
    <row r="111" spans="1:14">
      <c r="A111" s="153"/>
      <c r="B111" s="153"/>
      <c r="C111" s="153"/>
      <c r="D111" s="153"/>
      <c r="E111" s="153"/>
      <c r="F111" s="153"/>
      <c r="G111" s="153"/>
      <c r="H111" s="154"/>
      <c r="I111" s="154"/>
      <c r="J111" s="154"/>
      <c r="K111" s="154"/>
      <c r="L111" s="97"/>
      <c r="M111" s="97"/>
      <c r="N111" s="97"/>
    </row>
    <row r="112" spans="1:14">
      <c r="A112" s="153"/>
      <c r="B112" s="153"/>
      <c r="C112" s="153"/>
      <c r="D112" s="153"/>
      <c r="E112" s="153"/>
      <c r="F112" s="153"/>
      <c r="G112" s="153"/>
      <c r="H112" s="154"/>
      <c r="I112" s="154"/>
      <c r="J112" s="154"/>
      <c r="K112" s="154"/>
      <c r="L112" s="97"/>
      <c r="M112" s="97"/>
      <c r="N112" s="97"/>
    </row>
    <row r="113" spans="1:14">
      <c r="A113" s="153"/>
      <c r="B113" s="153"/>
      <c r="C113" s="153"/>
      <c r="D113" s="153"/>
      <c r="E113" s="153"/>
      <c r="F113" s="153"/>
      <c r="G113" s="153"/>
      <c r="H113" s="154"/>
      <c r="I113" s="154"/>
      <c r="J113" s="154"/>
      <c r="K113" s="154"/>
      <c r="L113" s="97"/>
      <c r="M113" s="97"/>
      <c r="N113" s="97"/>
    </row>
    <row r="114" spans="1:14">
      <c r="A114" s="153"/>
      <c r="B114" s="153"/>
      <c r="C114" s="153"/>
      <c r="D114" s="153"/>
      <c r="E114" s="153"/>
      <c r="F114" s="153"/>
      <c r="G114" s="153"/>
      <c r="H114" s="154"/>
      <c r="I114" s="154"/>
      <c r="J114" s="154"/>
      <c r="K114" s="154"/>
      <c r="L114" s="97"/>
      <c r="M114" s="97"/>
      <c r="N114" s="97"/>
    </row>
    <row r="115" spans="1:14">
      <c r="A115" s="153"/>
      <c r="B115" s="153"/>
      <c r="C115" s="153"/>
      <c r="D115" s="153"/>
      <c r="E115" s="153"/>
      <c r="F115" s="153"/>
      <c r="G115" s="153"/>
      <c r="H115" s="154"/>
      <c r="I115" s="154"/>
      <c r="J115" s="154"/>
      <c r="K115" s="154"/>
      <c r="L115" s="97"/>
      <c r="M115" s="97"/>
      <c r="N115" s="97"/>
    </row>
    <row r="116" spans="1:14">
      <c r="A116" s="153"/>
      <c r="B116" s="153"/>
      <c r="C116" s="153"/>
      <c r="D116" s="153"/>
      <c r="E116" s="153"/>
      <c r="F116" s="153"/>
      <c r="G116" s="153"/>
      <c r="H116" s="97"/>
      <c r="I116" s="97"/>
      <c r="J116" s="97"/>
      <c r="K116" s="97"/>
      <c r="L116" s="97"/>
      <c r="M116" s="97"/>
      <c r="N116" s="97"/>
    </row>
    <row r="117" spans="1:14">
      <c r="A117" s="153"/>
      <c r="B117" s="153"/>
      <c r="C117" s="153"/>
      <c r="D117" s="153"/>
      <c r="E117" s="153"/>
      <c r="F117" s="153"/>
      <c r="G117" s="153"/>
      <c r="H117" s="97"/>
      <c r="I117" s="97"/>
      <c r="J117" s="97"/>
      <c r="K117" s="97"/>
      <c r="L117" s="97"/>
      <c r="M117" s="97"/>
      <c r="N117" s="97"/>
    </row>
    <row r="118" spans="1:14">
      <c r="A118" s="153"/>
      <c r="B118" s="153"/>
      <c r="C118" s="153"/>
      <c r="D118" s="153"/>
      <c r="E118" s="153"/>
      <c r="F118" s="153"/>
      <c r="G118" s="153"/>
      <c r="H118" s="97"/>
      <c r="I118" s="97"/>
      <c r="J118" s="97"/>
      <c r="K118" s="97"/>
      <c r="L118" s="97"/>
      <c r="M118" s="97"/>
      <c r="N118" s="97"/>
    </row>
    <row r="119" spans="1:14">
      <c r="A119" s="153"/>
      <c r="B119" s="153"/>
      <c r="C119" s="153"/>
      <c r="D119" s="153"/>
      <c r="E119" s="153"/>
      <c r="F119" s="153"/>
      <c r="G119" s="153"/>
      <c r="H119" s="97"/>
      <c r="I119" s="97"/>
      <c r="J119" s="97"/>
      <c r="K119" s="97"/>
      <c r="L119" s="97"/>
      <c r="M119" s="97"/>
      <c r="N119" s="97"/>
    </row>
    <row r="120" spans="1:14">
      <c r="A120" s="153"/>
      <c r="B120" s="153"/>
      <c r="C120" s="153"/>
      <c r="D120" s="153"/>
      <c r="E120" s="153"/>
      <c r="F120" s="153"/>
      <c r="G120" s="153"/>
      <c r="H120" s="97"/>
      <c r="I120" s="97"/>
      <c r="J120" s="97"/>
      <c r="K120" s="97"/>
      <c r="L120" s="97"/>
      <c r="M120" s="97"/>
      <c r="N120" s="97"/>
    </row>
    <row r="121" spans="1:14">
      <c r="A121" s="153"/>
      <c r="B121" s="153"/>
      <c r="C121" s="153"/>
      <c r="D121" s="153"/>
      <c r="E121" s="153"/>
      <c r="F121" s="153"/>
      <c r="G121" s="153"/>
      <c r="H121" s="97"/>
      <c r="I121" s="97"/>
      <c r="J121" s="97"/>
      <c r="K121" s="97"/>
      <c r="L121" s="97"/>
      <c r="M121" s="97"/>
      <c r="N121" s="97"/>
    </row>
    <row r="122" spans="1:14">
      <c r="A122" s="153"/>
      <c r="B122" s="153"/>
      <c r="C122" s="153"/>
      <c r="D122" s="153"/>
      <c r="E122" s="153"/>
      <c r="F122" s="153"/>
      <c r="G122" s="153"/>
      <c r="H122" s="97"/>
      <c r="I122" s="97"/>
      <c r="J122" s="97"/>
      <c r="K122" s="97"/>
      <c r="L122" s="97"/>
      <c r="M122" s="97"/>
      <c r="N122" s="97"/>
    </row>
    <row r="123" spans="1:14">
      <c r="A123" s="153"/>
      <c r="B123" s="153"/>
      <c r="C123" s="153"/>
      <c r="D123" s="153"/>
      <c r="E123" s="153"/>
      <c r="F123" s="153"/>
      <c r="G123" s="153"/>
      <c r="H123" s="97"/>
      <c r="I123" s="97"/>
      <c r="J123" s="97"/>
      <c r="K123" s="97"/>
      <c r="L123" s="97"/>
      <c r="M123" s="97"/>
      <c r="N123" s="97"/>
    </row>
    <row r="124" spans="1:14">
      <c r="A124" s="153"/>
      <c r="B124" s="153"/>
      <c r="C124" s="153"/>
      <c r="D124" s="153"/>
      <c r="E124" s="153"/>
      <c r="F124" s="153"/>
      <c r="G124" s="153"/>
      <c r="H124" s="97"/>
      <c r="I124" s="97"/>
      <c r="J124" s="97"/>
      <c r="K124" s="97"/>
      <c r="L124" s="97"/>
      <c r="M124" s="97"/>
      <c r="N124" s="97"/>
    </row>
    <row r="125" spans="1:14">
      <c r="A125" s="153"/>
      <c r="B125" s="153"/>
      <c r="C125" s="153"/>
      <c r="D125" s="153"/>
      <c r="E125" s="153"/>
      <c r="F125" s="153"/>
      <c r="G125" s="153"/>
      <c r="H125" s="97"/>
      <c r="I125" s="97"/>
      <c r="J125" s="97"/>
      <c r="K125" s="97"/>
      <c r="L125" s="97"/>
      <c r="M125" s="97"/>
      <c r="N125" s="97"/>
    </row>
    <row r="126" spans="1:14">
      <c r="A126" s="153"/>
      <c r="B126" s="153"/>
      <c r="C126" s="153"/>
      <c r="D126" s="153"/>
      <c r="E126" s="153"/>
      <c r="F126" s="153"/>
      <c r="G126" s="153"/>
      <c r="H126" s="97"/>
      <c r="I126" s="97"/>
      <c r="J126" s="97"/>
      <c r="K126" s="97"/>
      <c r="L126" s="97"/>
      <c r="M126" s="97"/>
      <c r="N126" s="97"/>
    </row>
    <row r="127" spans="1:14">
      <c r="A127" s="153"/>
      <c r="B127" s="153"/>
      <c r="C127" s="153"/>
      <c r="D127" s="153"/>
      <c r="E127" s="153"/>
      <c r="F127" s="153"/>
      <c r="G127" s="153"/>
      <c r="H127" s="97"/>
      <c r="I127" s="97"/>
      <c r="J127" s="97"/>
      <c r="K127" s="97"/>
      <c r="L127" s="97"/>
      <c r="M127" s="97"/>
      <c r="N127" s="97"/>
    </row>
    <row r="128" spans="1:14">
      <c r="A128" s="153"/>
      <c r="B128" s="153"/>
      <c r="C128" s="153"/>
      <c r="D128" s="153"/>
      <c r="E128" s="153"/>
      <c r="F128" s="153"/>
      <c r="G128" s="153"/>
      <c r="H128" s="97"/>
      <c r="I128" s="97"/>
      <c r="J128" s="97"/>
      <c r="K128" s="97"/>
      <c r="L128" s="97"/>
      <c r="M128" s="97"/>
      <c r="N128" s="97"/>
    </row>
    <row r="129" spans="1:14">
      <c r="A129" s="153"/>
      <c r="B129" s="153"/>
      <c r="C129" s="153"/>
      <c r="D129" s="153"/>
      <c r="E129" s="153"/>
      <c r="F129" s="153"/>
      <c r="G129" s="153"/>
      <c r="H129" s="97"/>
      <c r="I129" s="97"/>
      <c r="J129" s="97"/>
      <c r="K129" s="97"/>
      <c r="L129" s="97"/>
      <c r="M129" s="97"/>
      <c r="N129" s="97"/>
    </row>
    <row r="130" spans="1:14">
      <c r="A130" s="153"/>
      <c r="B130" s="153"/>
      <c r="C130" s="153"/>
      <c r="D130" s="153"/>
      <c r="E130" s="153"/>
      <c r="F130" s="153"/>
      <c r="G130" s="153"/>
      <c r="H130" s="97"/>
      <c r="I130" s="97"/>
      <c r="J130" s="97"/>
      <c r="K130" s="97"/>
      <c r="L130" s="97"/>
      <c r="M130" s="97"/>
      <c r="N130" s="97"/>
    </row>
    <row r="131" spans="1:14">
      <c r="A131" s="153"/>
      <c r="B131" s="153"/>
      <c r="C131" s="153"/>
      <c r="D131" s="153"/>
      <c r="E131" s="153"/>
      <c r="F131" s="153"/>
      <c r="G131" s="153"/>
      <c r="H131" s="97"/>
      <c r="I131" s="97"/>
      <c r="J131" s="97"/>
      <c r="K131" s="97"/>
      <c r="L131" s="97"/>
      <c r="M131" s="97"/>
      <c r="N131" s="97"/>
    </row>
    <row r="132" spans="1:14">
      <c r="A132" s="153"/>
      <c r="B132" s="153"/>
      <c r="C132" s="153"/>
      <c r="D132" s="153"/>
      <c r="E132" s="153"/>
      <c r="F132" s="153"/>
      <c r="G132" s="153"/>
      <c r="H132" s="97"/>
      <c r="I132" s="97"/>
      <c r="J132" s="97"/>
      <c r="K132" s="97"/>
      <c r="L132" s="97"/>
      <c r="M132" s="97"/>
      <c r="N132" s="97"/>
    </row>
    <row r="133" spans="1:14">
      <c r="A133" s="153"/>
      <c r="B133" s="153"/>
      <c r="C133" s="153"/>
      <c r="D133" s="153"/>
      <c r="E133" s="153"/>
      <c r="F133" s="153"/>
      <c r="G133" s="153"/>
      <c r="H133" s="97"/>
      <c r="I133" s="97"/>
      <c r="J133" s="97"/>
      <c r="K133" s="97"/>
      <c r="L133" s="97"/>
      <c r="M133" s="97"/>
      <c r="N133" s="97"/>
    </row>
    <row r="134" spans="1:14">
      <c r="A134" s="153"/>
      <c r="B134" s="153"/>
      <c r="C134" s="153"/>
      <c r="D134" s="153"/>
      <c r="E134" s="153"/>
      <c r="F134" s="153"/>
      <c r="G134" s="153"/>
      <c r="H134" s="97"/>
      <c r="I134" s="97"/>
      <c r="J134" s="97"/>
      <c r="K134" s="97"/>
      <c r="L134" s="97"/>
      <c r="M134" s="97"/>
      <c r="N134" s="97"/>
    </row>
    <row r="135" spans="1:14">
      <c r="A135" s="153"/>
      <c r="B135" s="153"/>
      <c r="C135" s="153"/>
      <c r="D135" s="153"/>
      <c r="E135" s="153"/>
      <c r="F135" s="153"/>
      <c r="G135" s="153"/>
      <c r="H135" s="97"/>
      <c r="I135" s="97"/>
      <c r="J135" s="97"/>
      <c r="K135" s="97"/>
      <c r="L135" s="97"/>
      <c r="M135" s="97"/>
      <c r="N135" s="97"/>
    </row>
    <row r="136" spans="1:14">
      <c r="A136" s="153"/>
      <c r="B136" s="153"/>
      <c r="C136" s="153"/>
      <c r="D136" s="153"/>
      <c r="E136" s="153"/>
      <c r="F136" s="153"/>
      <c r="G136" s="153"/>
      <c r="H136" s="97"/>
      <c r="I136" s="97"/>
      <c r="J136" s="97"/>
      <c r="K136" s="97"/>
      <c r="L136" s="97"/>
      <c r="M136" s="97"/>
      <c r="N136" s="97"/>
    </row>
    <row r="137" spans="1:14">
      <c r="A137" s="153"/>
      <c r="B137" s="153"/>
      <c r="C137" s="153"/>
      <c r="D137" s="153"/>
      <c r="E137" s="153"/>
      <c r="F137" s="153"/>
      <c r="G137" s="153"/>
      <c r="H137" s="97"/>
      <c r="I137" s="97"/>
      <c r="J137" s="97"/>
      <c r="K137" s="97"/>
      <c r="L137" s="97"/>
      <c r="M137" s="97"/>
      <c r="N137" s="97"/>
    </row>
    <row r="138" spans="1:14">
      <c r="A138" s="153"/>
      <c r="B138" s="153"/>
      <c r="C138" s="153"/>
      <c r="D138" s="153"/>
      <c r="E138" s="153"/>
      <c r="F138" s="153"/>
      <c r="G138" s="153"/>
      <c r="H138" s="97"/>
      <c r="I138" s="97"/>
      <c r="J138" s="97"/>
      <c r="K138" s="97"/>
      <c r="L138" s="97"/>
      <c r="M138" s="97"/>
      <c r="N138" s="97"/>
    </row>
    <row r="139" spans="1:14">
      <c r="A139" s="153"/>
      <c r="B139" s="153"/>
      <c r="C139" s="153"/>
      <c r="D139" s="153"/>
      <c r="E139" s="153"/>
      <c r="F139" s="153"/>
      <c r="G139" s="153"/>
      <c r="H139" s="97"/>
      <c r="I139" s="97"/>
      <c r="J139" s="97"/>
      <c r="K139" s="97"/>
      <c r="L139" s="97"/>
      <c r="M139" s="97"/>
      <c r="N139" s="97"/>
    </row>
    <row r="140" spans="1:14">
      <c r="A140" s="153"/>
      <c r="B140" s="153"/>
      <c r="C140" s="153"/>
      <c r="D140" s="153"/>
      <c r="E140" s="153"/>
      <c r="F140" s="153"/>
      <c r="G140" s="153"/>
      <c r="H140" s="97"/>
      <c r="I140" s="97"/>
      <c r="J140" s="97"/>
      <c r="K140" s="97"/>
      <c r="L140" s="97"/>
      <c r="M140" s="97"/>
      <c r="N140" s="97"/>
    </row>
    <row r="141" spans="1:14">
      <c r="A141" s="153"/>
      <c r="B141" s="153"/>
      <c r="C141" s="153"/>
      <c r="D141" s="153"/>
      <c r="E141" s="153"/>
      <c r="F141" s="153"/>
      <c r="G141" s="153"/>
      <c r="H141" s="97"/>
      <c r="I141" s="97"/>
      <c r="J141" s="97"/>
      <c r="K141" s="97"/>
      <c r="L141" s="97"/>
      <c r="M141" s="97"/>
      <c r="N141" s="97"/>
    </row>
    <row r="142" spans="1:14">
      <c r="A142" s="153"/>
      <c r="B142" s="153"/>
      <c r="C142" s="153"/>
      <c r="D142" s="153"/>
      <c r="E142" s="153"/>
      <c r="F142" s="153"/>
      <c r="G142" s="153"/>
      <c r="H142" s="97"/>
      <c r="I142" s="97"/>
      <c r="J142" s="97"/>
      <c r="K142" s="97"/>
      <c r="L142" s="97"/>
      <c r="M142" s="97"/>
      <c r="N142" s="97"/>
    </row>
    <row r="143" spans="1:14">
      <c r="A143" s="153"/>
      <c r="B143" s="153"/>
      <c r="C143" s="153"/>
      <c r="D143" s="153"/>
      <c r="E143" s="153"/>
      <c r="F143" s="153"/>
      <c r="G143" s="153"/>
      <c r="H143" s="97"/>
      <c r="I143" s="97"/>
      <c r="J143" s="97"/>
      <c r="K143" s="97"/>
      <c r="L143" s="97"/>
      <c r="M143" s="97"/>
      <c r="N143" s="97"/>
    </row>
    <row r="144" spans="1:14">
      <c r="A144" s="153"/>
      <c r="B144" s="153"/>
      <c r="C144" s="153"/>
      <c r="D144" s="153"/>
      <c r="E144" s="153"/>
      <c r="F144" s="153"/>
      <c r="G144" s="153"/>
      <c r="H144" s="97"/>
      <c r="I144" s="97"/>
      <c r="J144" s="97"/>
      <c r="K144" s="97"/>
      <c r="L144" s="97"/>
      <c r="M144" s="97"/>
      <c r="N144" s="97"/>
    </row>
    <row r="145" spans="1:14">
      <c r="A145" s="153"/>
      <c r="B145" s="153"/>
      <c r="C145" s="153"/>
      <c r="D145" s="153"/>
      <c r="E145" s="153"/>
      <c r="F145" s="153"/>
      <c r="G145" s="153"/>
      <c r="H145" s="97"/>
      <c r="I145" s="97"/>
      <c r="J145" s="97"/>
      <c r="K145" s="97"/>
      <c r="L145" s="97"/>
      <c r="M145" s="97"/>
      <c r="N145" s="97"/>
    </row>
    <row r="146" spans="1:14">
      <c r="A146" s="153"/>
      <c r="B146" s="153"/>
      <c r="C146" s="153"/>
      <c r="D146" s="153"/>
      <c r="E146" s="153"/>
      <c r="F146" s="153"/>
      <c r="G146" s="153"/>
      <c r="H146" s="97"/>
      <c r="I146" s="97"/>
      <c r="J146" s="97"/>
      <c r="K146" s="97"/>
      <c r="L146" s="97"/>
      <c r="M146" s="97"/>
      <c r="N146" s="97"/>
    </row>
    <row r="147" spans="1:14">
      <c r="A147" s="153"/>
      <c r="B147" s="153"/>
      <c r="C147" s="153"/>
      <c r="D147" s="153"/>
      <c r="E147" s="153"/>
      <c r="F147" s="153"/>
      <c r="G147" s="153"/>
      <c r="H147" s="97"/>
      <c r="I147" s="97"/>
      <c r="J147" s="97"/>
      <c r="K147" s="97"/>
      <c r="L147" s="97"/>
      <c r="M147" s="97"/>
      <c r="N147" s="97"/>
    </row>
    <row r="148" spans="1:14">
      <c r="A148" s="153"/>
      <c r="B148" s="153"/>
      <c r="C148" s="153"/>
      <c r="D148" s="153"/>
      <c r="E148" s="153"/>
      <c r="F148" s="153"/>
      <c r="G148" s="153"/>
      <c r="H148" s="97"/>
      <c r="I148" s="97"/>
      <c r="J148" s="97"/>
      <c r="K148" s="97"/>
      <c r="L148" s="97"/>
      <c r="M148" s="97"/>
      <c r="N148" s="97"/>
    </row>
    <row r="149" spans="1:14">
      <c r="A149" s="153"/>
      <c r="B149" s="153"/>
      <c r="C149" s="153"/>
      <c r="D149" s="153"/>
      <c r="E149" s="153"/>
      <c r="F149" s="153"/>
      <c r="G149" s="153"/>
      <c r="H149" s="97"/>
      <c r="I149" s="97"/>
      <c r="J149" s="97"/>
      <c r="K149" s="97"/>
      <c r="L149" s="97"/>
      <c r="M149" s="97"/>
      <c r="N149" s="97"/>
    </row>
    <row r="150" spans="1:14">
      <c r="A150" s="153"/>
      <c r="B150" s="153"/>
      <c r="C150" s="153"/>
      <c r="D150" s="153"/>
      <c r="E150" s="153"/>
      <c r="F150" s="153"/>
      <c r="G150" s="153"/>
      <c r="H150" s="97"/>
      <c r="I150" s="97"/>
      <c r="J150" s="97"/>
      <c r="K150" s="97"/>
      <c r="L150" s="97"/>
      <c r="M150" s="97"/>
      <c r="N150" s="97"/>
    </row>
    <row r="151" spans="1:14">
      <c r="A151" s="153"/>
      <c r="B151" s="153"/>
      <c r="C151" s="153"/>
      <c r="D151" s="153"/>
      <c r="E151" s="153"/>
      <c r="F151" s="153"/>
      <c r="G151" s="153"/>
      <c r="H151" s="97"/>
      <c r="I151" s="97"/>
      <c r="J151" s="97"/>
      <c r="K151" s="97"/>
      <c r="L151" s="97"/>
      <c r="M151" s="97"/>
      <c r="N151" s="97"/>
    </row>
    <row r="152" spans="1:14">
      <c r="A152" s="153"/>
      <c r="B152" s="153"/>
      <c r="C152" s="153"/>
      <c r="D152" s="153"/>
      <c r="E152" s="153"/>
      <c r="F152" s="153"/>
      <c r="G152" s="153"/>
      <c r="H152" s="97"/>
      <c r="I152" s="97"/>
      <c r="J152" s="97"/>
      <c r="K152" s="97"/>
      <c r="L152" s="97"/>
      <c r="M152" s="97"/>
      <c r="N152" s="97"/>
    </row>
    <row r="153" spans="1:14">
      <c r="A153" s="153"/>
      <c r="B153" s="153"/>
      <c r="C153" s="153"/>
      <c r="D153" s="153"/>
      <c r="E153" s="153"/>
      <c r="F153" s="153"/>
      <c r="G153" s="153"/>
      <c r="H153" s="97"/>
      <c r="I153" s="97"/>
      <c r="J153" s="97"/>
      <c r="K153" s="97"/>
      <c r="L153" s="97"/>
      <c r="M153" s="97"/>
      <c r="N153" s="97"/>
    </row>
    <row r="154" spans="1:14">
      <c r="A154" s="153"/>
      <c r="B154" s="153"/>
      <c r="C154" s="153"/>
      <c r="D154" s="153"/>
      <c r="E154" s="153"/>
      <c r="F154" s="153"/>
      <c r="G154" s="153"/>
      <c r="H154" s="97"/>
      <c r="I154" s="97"/>
      <c r="J154" s="97"/>
      <c r="K154" s="97"/>
      <c r="L154" s="97"/>
      <c r="M154" s="97"/>
      <c r="N154" s="97"/>
    </row>
    <row r="155" spans="1:14">
      <c r="A155" s="153"/>
      <c r="B155" s="153"/>
      <c r="C155" s="153"/>
      <c r="D155" s="153"/>
      <c r="E155" s="153"/>
      <c r="F155" s="153"/>
      <c r="G155" s="153"/>
      <c r="H155" s="97"/>
      <c r="I155" s="97"/>
      <c r="J155" s="97"/>
      <c r="K155" s="97"/>
      <c r="L155" s="97"/>
      <c r="M155" s="97"/>
      <c r="N155" s="97"/>
    </row>
    <row r="156" spans="1:14">
      <c r="A156" s="153"/>
      <c r="B156" s="153"/>
      <c r="C156" s="153"/>
      <c r="D156" s="153"/>
      <c r="E156" s="153"/>
      <c r="F156" s="153"/>
      <c r="G156" s="153"/>
      <c r="H156" s="97"/>
      <c r="I156" s="97"/>
      <c r="J156" s="97"/>
      <c r="K156" s="97"/>
      <c r="L156" s="97"/>
      <c r="M156" s="97"/>
      <c r="N156" s="97"/>
    </row>
    <row r="157" spans="1:14">
      <c r="A157" s="153"/>
      <c r="B157" s="153"/>
      <c r="C157" s="153"/>
      <c r="D157" s="153"/>
      <c r="E157" s="153"/>
      <c r="F157" s="153"/>
      <c r="G157" s="153"/>
      <c r="H157" s="97"/>
      <c r="I157" s="97"/>
      <c r="J157" s="97"/>
      <c r="K157" s="97"/>
      <c r="L157" s="97"/>
      <c r="M157" s="97"/>
      <c r="N157" s="97"/>
    </row>
    <row r="158" spans="1:14">
      <c r="A158" s="153"/>
      <c r="B158" s="153"/>
      <c r="C158" s="153"/>
      <c r="D158" s="153"/>
      <c r="E158" s="153"/>
      <c r="F158" s="153"/>
      <c r="G158" s="153"/>
      <c r="H158" s="97"/>
      <c r="I158" s="97"/>
      <c r="J158" s="97"/>
      <c r="K158" s="97"/>
      <c r="L158" s="97"/>
      <c r="M158" s="97"/>
      <c r="N158" s="97"/>
    </row>
    <row r="159" spans="1:14">
      <c r="A159" s="153"/>
      <c r="B159" s="153"/>
      <c r="C159" s="153"/>
      <c r="D159" s="153"/>
      <c r="E159" s="153"/>
      <c r="F159" s="153"/>
      <c r="G159" s="153"/>
      <c r="H159" s="97"/>
      <c r="I159" s="97"/>
      <c r="J159" s="97"/>
      <c r="K159" s="97"/>
      <c r="L159" s="97"/>
      <c r="M159" s="97"/>
      <c r="N159" s="97"/>
    </row>
    <row r="160" spans="1:14">
      <c r="A160" s="153"/>
      <c r="B160" s="153"/>
      <c r="C160" s="153"/>
      <c r="D160" s="153"/>
      <c r="E160" s="153"/>
      <c r="F160" s="153"/>
      <c r="G160" s="153"/>
      <c r="H160" s="97"/>
      <c r="I160" s="97"/>
      <c r="J160" s="97"/>
      <c r="K160" s="97"/>
      <c r="L160" s="97"/>
      <c r="M160" s="97"/>
      <c r="N160" s="97"/>
    </row>
    <row r="161" spans="1:14">
      <c r="A161" s="153"/>
      <c r="B161" s="153"/>
      <c r="C161" s="153"/>
      <c r="D161" s="153"/>
      <c r="E161" s="153"/>
      <c r="F161" s="153"/>
      <c r="G161" s="153"/>
      <c r="H161" s="97"/>
      <c r="I161" s="97"/>
      <c r="J161" s="97"/>
      <c r="K161" s="97"/>
      <c r="L161" s="97"/>
      <c r="M161" s="97"/>
      <c r="N161" s="97"/>
    </row>
    <row r="162" spans="1:14">
      <c r="A162" s="153"/>
      <c r="B162" s="153"/>
      <c r="C162" s="153"/>
      <c r="D162" s="153"/>
      <c r="E162" s="153"/>
      <c r="F162" s="153"/>
      <c r="G162" s="153"/>
      <c r="H162" s="97"/>
      <c r="I162" s="97"/>
      <c r="J162" s="97"/>
      <c r="K162" s="97"/>
      <c r="L162" s="97"/>
      <c r="M162" s="97"/>
      <c r="N162" s="97"/>
    </row>
    <row r="163" spans="1:14">
      <c r="A163" s="153"/>
      <c r="B163" s="153"/>
      <c r="C163" s="153"/>
      <c r="D163" s="153"/>
      <c r="E163" s="153"/>
      <c r="F163" s="153"/>
      <c r="G163" s="153"/>
      <c r="H163" s="97"/>
      <c r="I163" s="97"/>
      <c r="J163" s="97"/>
      <c r="K163" s="97"/>
      <c r="L163" s="97"/>
      <c r="M163" s="97"/>
      <c r="N163" s="97"/>
    </row>
    <row r="164" spans="1:14">
      <c r="A164" s="153"/>
      <c r="B164" s="153"/>
      <c r="C164" s="153"/>
      <c r="D164" s="153"/>
      <c r="E164" s="153"/>
      <c r="F164" s="153"/>
      <c r="G164" s="153"/>
      <c r="H164" s="97"/>
      <c r="I164" s="97"/>
      <c r="J164" s="97"/>
      <c r="K164" s="97"/>
      <c r="L164" s="97"/>
      <c r="M164" s="97"/>
      <c r="N164" s="97"/>
    </row>
    <row r="165" spans="1:14">
      <c r="A165" s="153"/>
      <c r="B165" s="153"/>
      <c r="C165" s="153"/>
      <c r="D165" s="153"/>
      <c r="E165" s="153"/>
      <c r="F165" s="153"/>
      <c r="G165" s="153"/>
      <c r="H165" s="97"/>
      <c r="I165" s="97"/>
      <c r="J165" s="97"/>
      <c r="K165" s="97"/>
      <c r="L165" s="97"/>
      <c r="M165" s="97"/>
      <c r="N165" s="97"/>
    </row>
    <row r="166" spans="1:14">
      <c r="A166" s="153"/>
      <c r="B166" s="153"/>
      <c r="C166" s="153"/>
      <c r="D166" s="153"/>
      <c r="E166" s="153"/>
      <c r="F166" s="153"/>
      <c r="G166" s="153"/>
      <c r="H166" s="97"/>
      <c r="I166" s="97"/>
      <c r="J166" s="97"/>
      <c r="K166" s="97"/>
      <c r="L166" s="97"/>
      <c r="M166" s="97"/>
      <c r="N166" s="97"/>
    </row>
    <row r="167" spans="1:14">
      <c r="A167" s="153"/>
      <c r="B167" s="153"/>
      <c r="C167" s="153"/>
      <c r="D167" s="153"/>
      <c r="E167" s="153"/>
      <c r="F167" s="153"/>
      <c r="G167" s="153"/>
      <c r="H167" s="97"/>
      <c r="I167" s="97"/>
      <c r="J167" s="97"/>
      <c r="K167" s="97"/>
      <c r="L167" s="97"/>
      <c r="M167" s="97"/>
      <c r="N167" s="97"/>
    </row>
    <row r="168" spans="1:14">
      <c r="A168" s="153"/>
      <c r="B168" s="153"/>
      <c r="C168" s="153"/>
      <c r="D168" s="153"/>
      <c r="E168" s="153"/>
      <c r="F168" s="153"/>
      <c r="G168" s="153"/>
      <c r="H168" s="97"/>
      <c r="I168" s="97"/>
      <c r="J168" s="97"/>
      <c r="K168" s="97"/>
      <c r="L168" s="97"/>
      <c r="M168" s="97"/>
      <c r="N168" s="97"/>
    </row>
    <row r="169" spans="1:14">
      <c r="A169" s="153"/>
      <c r="B169" s="153"/>
      <c r="C169" s="153"/>
      <c r="D169" s="153"/>
      <c r="E169" s="153"/>
      <c r="F169" s="153"/>
      <c r="G169" s="153"/>
      <c r="H169" s="97"/>
      <c r="I169" s="97"/>
      <c r="J169" s="97"/>
      <c r="K169" s="97"/>
      <c r="L169" s="97"/>
      <c r="M169" s="97"/>
      <c r="N169" s="97"/>
    </row>
    <row r="170" spans="1:14">
      <c r="A170" s="153"/>
      <c r="B170" s="153"/>
      <c r="C170" s="153"/>
      <c r="D170" s="153"/>
      <c r="E170" s="153"/>
      <c r="F170" s="153"/>
      <c r="G170" s="153"/>
      <c r="H170" s="97"/>
      <c r="I170" s="97"/>
      <c r="J170" s="97"/>
      <c r="K170" s="97"/>
      <c r="L170" s="97"/>
      <c r="M170" s="97"/>
      <c r="N170" s="97"/>
    </row>
    <row r="171" spans="1:14">
      <c r="A171" s="153"/>
      <c r="B171" s="153"/>
      <c r="C171" s="153"/>
      <c r="D171" s="153"/>
      <c r="E171" s="153"/>
      <c r="F171" s="153"/>
      <c r="G171" s="153"/>
      <c r="H171" s="97"/>
      <c r="I171" s="97"/>
      <c r="J171" s="97"/>
      <c r="K171" s="97"/>
      <c r="L171" s="97"/>
      <c r="M171" s="97"/>
      <c r="N171" s="97"/>
    </row>
    <row r="172" spans="1:14">
      <c r="A172" s="153"/>
      <c r="B172" s="153"/>
      <c r="C172" s="153"/>
      <c r="D172" s="153"/>
      <c r="E172" s="153"/>
      <c r="F172" s="153"/>
      <c r="G172" s="153"/>
      <c r="H172" s="97"/>
      <c r="I172" s="97"/>
      <c r="J172" s="97"/>
      <c r="K172" s="97"/>
      <c r="L172" s="97"/>
      <c r="M172" s="97"/>
      <c r="N172" s="97"/>
    </row>
    <row r="173" spans="1:14">
      <c r="A173" s="153"/>
      <c r="B173" s="153"/>
      <c r="C173" s="153"/>
      <c r="D173" s="153"/>
      <c r="E173" s="153"/>
      <c r="F173" s="153"/>
      <c r="G173" s="153"/>
      <c r="H173" s="97"/>
      <c r="I173" s="97"/>
      <c r="J173" s="97"/>
      <c r="K173" s="97"/>
      <c r="L173" s="97"/>
      <c r="M173" s="97"/>
      <c r="N173" s="97"/>
    </row>
    <row r="174" spans="1:14">
      <c r="A174" s="153"/>
      <c r="B174" s="153"/>
      <c r="C174" s="153"/>
      <c r="D174" s="153"/>
      <c r="E174" s="153"/>
      <c r="F174" s="153"/>
      <c r="G174" s="153"/>
      <c r="H174" s="97"/>
      <c r="I174" s="97"/>
      <c r="J174" s="97"/>
      <c r="K174" s="97"/>
      <c r="L174" s="97"/>
      <c r="M174" s="97"/>
      <c r="N174" s="97"/>
    </row>
    <row r="175" spans="1:14">
      <c r="A175" s="153"/>
      <c r="B175" s="153"/>
      <c r="C175" s="153"/>
      <c r="D175" s="153"/>
      <c r="E175" s="153"/>
      <c r="F175" s="153"/>
      <c r="G175" s="153"/>
      <c r="H175" s="97"/>
      <c r="I175" s="97"/>
      <c r="J175" s="97"/>
      <c r="K175" s="97"/>
      <c r="L175" s="97"/>
      <c r="M175" s="97"/>
      <c r="N175" s="97"/>
    </row>
    <row r="176" spans="1:14">
      <c r="A176" s="153"/>
      <c r="B176" s="153"/>
      <c r="C176" s="153"/>
      <c r="D176" s="153"/>
      <c r="E176" s="153"/>
      <c r="F176" s="153"/>
      <c r="G176" s="153"/>
      <c r="H176" s="97"/>
      <c r="I176" s="97"/>
      <c r="J176" s="97"/>
      <c r="K176" s="97"/>
      <c r="L176" s="97"/>
      <c r="M176" s="97"/>
      <c r="N176" s="97"/>
    </row>
    <row r="177" spans="1:14">
      <c r="A177" s="153"/>
      <c r="B177" s="153"/>
      <c r="C177" s="153"/>
      <c r="D177" s="153"/>
      <c r="E177" s="153"/>
      <c r="F177" s="153"/>
      <c r="G177" s="153"/>
      <c r="H177" s="97"/>
      <c r="I177" s="97"/>
      <c r="J177" s="97"/>
      <c r="K177" s="97"/>
      <c r="L177" s="97"/>
      <c r="M177" s="97"/>
      <c r="N177" s="97"/>
    </row>
    <row r="178" spans="1:14">
      <c r="A178" s="153"/>
      <c r="B178" s="153"/>
      <c r="C178" s="153"/>
      <c r="D178" s="153"/>
      <c r="E178" s="153"/>
      <c r="F178" s="153"/>
      <c r="G178" s="153"/>
      <c r="H178" s="97"/>
      <c r="I178" s="97"/>
      <c r="J178" s="97"/>
      <c r="K178" s="97"/>
      <c r="L178" s="97"/>
      <c r="M178" s="97"/>
      <c r="N178" s="97"/>
    </row>
    <row r="179" spans="1:14">
      <c r="A179" s="153"/>
      <c r="B179" s="153"/>
      <c r="C179" s="153"/>
      <c r="D179" s="153"/>
      <c r="E179" s="153"/>
      <c r="F179" s="153"/>
      <c r="G179" s="153"/>
      <c r="H179" s="97"/>
      <c r="I179" s="97"/>
      <c r="J179" s="97"/>
      <c r="K179" s="97"/>
      <c r="L179" s="97"/>
      <c r="M179" s="97"/>
      <c r="N179" s="97"/>
    </row>
    <row r="180" spans="1:14">
      <c r="A180" s="153"/>
      <c r="B180" s="153"/>
      <c r="C180" s="153"/>
      <c r="D180" s="153"/>
      <c r="E180" s="153"/>
      <c r="F180" s="153"/>
      <c r="G180" s="153"/>
      <c r="H180" s="97"/>
      <c r="I180" s="97"/>
      <c r="J180" s="97"/>
      <c r="K180" s="97"/>
      <c r="L180" s="97"/>
      <c r="M180" s="97"/>
      <c r="N180" s="97"/>
    </row>
    <row r="181" spans="1:14">
      <c r="A181" s="153"/>
      <c r="B181" s="153"/>
      <c r="C181" s="153"/>
      <c r="D181" s="153"/>
      <c r="E181" s="153"/>
      <c r="F181" s="153"/>
      <c r="G181" s="153"/>
      <c r="H181" s="97"/>
      <c r="I181" s="97"/>
      <c r="J181" s="97"/>
      <c r="K181" s="97"/>
      <c r="L181" s="97"/>
      <c r="M181" s="97"/>
      <c r="N181" s="97"/>
    </row>
    <row r="182" spans="1:14">
      <c r="A182" s="153"/>
      <c r="B182" s="153"/>
      <c r="C182" s="153"/>
      <c r="D182" s="153"/>
      <c r="E182" s="153"/>
      <c r="F182" s="153"/>
      <c r="G182" s="153"/>
      <c r="H182" s="97"/>
      <c r="I182" s="97"/>
      <c r="J182" s="97"/>
      <c r="K182" s="97"/>
      <c r="L182" s="97"/>
      <c r="M182" s="97"/>
      <c r="N182" s="97"/>
    </row>
    <row r="183" spans="1:14">
      <c r="A183" s="153"/>
      <c r="B183" s="153"/>
      <c r="C183" s="153"/>
      <c r="D183" s="153"/>
      <c r="E183" s="153"/>
      <c r="F183" s="153"/>
      <c r="G183" s="153"/>
      <c r="H183" s="97"/>
      <c r="I183" s="97"/>
      <c r="J183" s="97"/>
      <c r="K183" s="97"/>
      <c r="L183" s="97"/>
      <c r="M183" s="97"/>
      <c r="N183" s="97"/>
    </row>
    <row r="184" spans="1:14">
      <c r="A184" s="153"/>
      <c r="B184" s="153"/>
      <c r="C184" s="153"/>
      <c r="D184" s="153"/>
      <c r="E184" s="153"/>
      <c r="F184" s="153"/>
      <c r="G184" s="153"/>
      <c r="H184" s="97"/>
      <c r="I184" s="97"/>
      <c r="J184" s="97"/>
      <c r="K184" s="97"/>
      <c r="L184" s="97"/>
      <c r="M184" s="97"/>
      <c r="N184" s="97"/>
    </row>
    <row r="185" spans="1:14">
      <c r="A185" s="153"/>
      <c r="B185" s="153"/>
      <c r="C185" s="153"/>
      <c r="D185" s="153"/>
      <c r="E185" s="153"/>
      <c r="F185" s="153"/>
      <c r="G185" s="153"/>
      <c r="H185" s="97"/>
      <c r="I185" s="97"/>
      <c r="J185" s="97"/>
      <c r="K185" s="97"/>
      <c r="L185" s="97"/>
      <c r="M185" s="97"/>
      <c r="N185" s="97"/>
    </row>
    <row r="186" spans="1:14">
      <c r="A186" s="153"/>
      <c r="B186" s="153"/>
      <c r="C186" s="153"/>
      <c r="D186" s="153"/>
      <c r="E186" s="153"/>
      <c r="F186" s="153"/>
      <c r="G186" s="153"/>
      <c r="H186" s="97"/>
      <c r="I186" s="97"/>
      <c r="J186" s="97"/>
      <c r="K186" s="97"/>
      <c r="L186" s="97"/>
      <c r="M186" s="97"/>
      <c r="N186" s="97"/>
    </row>
    <row r="187" spans="1:14">
      <c r="A187" s="153"/>
      <c r="B187" s="153"/>
      <c r="C187" s="153"/>
      <c r="D187" s="153"/>
      <c r="E187" s="153"/>
      <c r="F187" s="153"/>
      <c r="G187" s="153"/>
      <c r="H187" s="97"/>
      <c r="I187" s="97"/>
      <c r="J187" s="97"/>
      <c r="K187" s="97"/>
      <c r="L187" s="97"/>
      <c r="M187" s="97"/>
      <c r="N187" s="97"/>
    </row>
    <row r="188" spans="1:14">
      <c r="A188" s="153"/>
      <c r="B188" s="153"/>
      <c r="C188" s="153"/>
      <c r="D188" s="153"/>
      <c r="E188" s="153"/>
      <c r="F188" s="153"/>
      <c r="G188" s="153"/>
      <c r="H188" s="97"/>
      <c r="I188" s="97"/>
      <c r="J188" s="97"/>
      <c r="K188" s="97"/>
      <c r="L188" s="97"/>
      <c r="M188" s="97"/>
      <c r="N188" s="97"/>
    </row>
    <row r="189" spans="1:14">
      <c r="A189" s="153"/>
      <c r="B189" s="153"/>
      <c r="C189" s="153"/>
      <c r="D189" s="153"/>
      <c r="E189" s="153"/>
      <c r="F189" s="153"/>
      <c r="G189" s="153"/>
      <c r="H189" s="97"/>
      <c r="I189" s="97"/>
      <c r="J189" s="97"/>
      <c r="K189" s="97"/>
      <c r="L189" s="97"/>
      <c r="M189" s="97"/>
      <c r="N189" s="97"/>
    </row>
    <row r="190" spans="1:14">
      <c r="A190" s="153"/>
      <c r="B190" s="153"/>
      <c r="C190" s="153"/>
      <c r="D190" s="153"/>
      <c r="E190" s="153"/>
      <c r="F190" s="153"/>
      <c r="G190" s="153"/>
      <c r="H190" s="97"/>
      <c r="I190" s="97"/>
      <c r="J190" s="97"/>
      <c r="K190" s="97"/>
      <c r="L190" s="97"/>
      <c r="M190" s="97"/>
      <c r="N190" s="97"/>
    </row>
    <row r="191" spans="1:14">
      <c r="A191" s="153"/>
      <c r="B191" s="153"/>
      <c r="C191" s="153"/>
      <c r="D191" s="153"/>
      <c r="E191" s="153"/>
      <c r="F191" s="153"/>
      <c r="G191" s="153"/>
      <c r="H191" s="97"/>
      <c r="I191" s="97"/>
      <c r="J191" s="97"/>
      <c r="K191" s="97"/>
      <c r="L191" s="97"/>
      <c r="M191" s="97"/>
      <c r="N191" s="97"/>
    </row>
    <row r="192" spans="1:14">
      <c r="A192" s="153"/>
      <c r="B192" s="153"/>
      <c r="C192" s="153"/>
      <c r="D192" s="153"/>
      <c r="E192" s="153"/>
      <c r="F192" s="153"/>
      <c r="G192" s="153"/>
      <c r="H192" s="97"/>
      <c r="I192" s="97"/>
      <c r="J192" s="97"/>
      <c r="K192" s="97"/>
      <c r="L192" s="97"/>
      <c r="M192" s="97"/>
      <c r="N192" s="97"/>
    </row>
    <row r="193" spans="1:14">
      <c r="A193" s="153"/>
      <c r="B193" s="153"/>
      <c r="C193" s="153"/>
      <c r="D193" s="153"/>
      <c r="E193" s="153"/>
      <c r="F193" s="153"/>
      <c r="G193" s="153"/>
      <c r="H193" s="97"/>
      <c r="I193" s="97"/>
      <c r="J193" s="97"/>
      <c r="K193" s="97"/>
      <c r="L193" s="97"/>
      <c r="M193" s="97"/>
      <c r="N193" s="97"/>
    </row>
    <row r="194" spans="1:14">
      <c r="A194" s="153"/>
      <c r="B194" s="153"/>
      <c r="C194" s="153"/>
      <c r="D194" s="153"/>
      <c r="E194" s="153"/>
      <c r="F194" s="153"/>
      <c r="G194" s="153"/>
      <c r="H194" s="97"/>
      <c r="I194" s="97"/>
      <c r="J194" s="97"/>
      <c r="K194" s="97"/>
      <c r="L194" s="97"/>
      <c r="M194" s="97"/>
      <c r="N194" s="97"/>
    </row>
    <row r="195" spans="1:14">
      <c r="A195" s="153"/>
      <c r="B195" s="153"/>
      <c r="C195" s="153"/>
      <c r="D195" s="153"/>
      <c r="E195" s="153"/>
      <c r="F195" s="153"/>
      <c r="G195" s="153"/>
      <c r="H195" s="97"/>
      <c r="I195" s="97"/>
      <c r="J195" s="97"/>
      <c r="K195" s="97"/>
      <c r="L195" s="97"/>
      <c r="M195" s="97"/>
      <c r="N195" s="97"/>
    </row>
    <row r="196" spans="1:14">
      <c r="A196" s="153"/>
      <c r="B196" s="153"/>
      <c r="C196" s="153"/>
      <c r="D196" s="153"/>
      <c r="E196" s="153"/>
      <c r="F196" s="153"/>
      <c r="G196" s="153"/>
      <c r="H196" s="97"/>
      <c r="I196" s="97"/>
      <c r="J196" s="97"/>
      <c r="K196" s="97"/>
      <c r="L196" s="97"/>
      <c r="M196" s="97"/>
      <c r="N196" s="97"/>
    </row>
    <row r="197" spans="1:14">
      <c r="A197" s="153"/>
      <c r="B197" s="153"/>
      <c r="C197" s="153"/>
      <c r="D197" s="153"/>
      <c r="E197" s="153"/>
      <c r="F197" s="153"/>
      <c r="G197" s="153"/>
      <c r="H197" s="97"/>
      <c r="I197" s="97"/>
      <c r="J197" s="97"/>
      <c r="K197" s="97"/>
      <c r="L197" s="97"/>
      <c r="M197" s="97"/>
      <c r="N197" s="97"/>
    </row>
    <row r="198" spans="1:14">
      <c r="A198" s="153"/>
      <c r="B198" s="153"/>
      <c r="C198" s="153"/>
      <c r="D198" s="153"/>
      <c r="E198" s="153"/>
      <c r="F198" s="153"/>
      <c r="G198" s="153"/>
      <c r="H198" s="97"/>
      <c r="I198" s="97"/>
      <c r="J198" s="97"/>
      <c r="K198" s="97"/>
      <c r="L198" s="97"/>
      <c r="M198" s="97"/>
      <c r="N198" s="97"/>
    </row>
    <row r="199" spans="1:14">
      <c r="A199" s="153"/>
      <c r="B199" s="153"/>
      <c r="C199" s="153"/>
      <c r="D199" s="153"/>
      <c r="E199" s="153"/>
      <c r="F199" s="153"/>
      <c r="G199" s="153"/>
      <c r="H199" s="97"/>
      <c r="I199" s="97"/>
      <c r="J199" s="97"/>
      <c r="K199" s="97"/>
      <c r="L199" s="97"/>
      <c r="M199" s="97"/>
      <c r="N199" s="97"/>
    </row>
    <row r="200" spans="1:14">
      <c r="A200" s="153"/>
      <c r="B200" s="153"/>
      <c r="C200" s="153"/>
      <c r="D200" s="153"/>
      <c r="E200" s="153"/>
      <c r="F200" s="153"/>
      <c r="G200" s="153"/>
      <c r="H200" s="97"/>
      <c r="I200" s="97"/>
      <c r="J200" s="97"/>
      <c r="K200" s="97"/>
      <c r="L200" s="97"/>
      <c r="M200" s="97"/>
      <c r="N200" s="97"/>
    </row>
    <row r="201" spans="1:14">
      <c r="A201" s="153"/>
      <c r="B201" s="153"/>
      <c r="C201" s="153"/>
      <c r="D201" s="153"/>
      <c r="E201" s="153"/>
      <c r="F201" s="153"/>
      <c r="G201" s="153"/>
      <c r="H201" s="97"/>
      <c r="I201" s="97"/>
      <c r="J201" s="97"/>
      <c r="K201" s="97"/>
      <c r="L201" s="97"/>
      <c r="M201" s="97"/>
      <c r="N201" s="97"/>
    </row>
    <row r="202" spans="1:14">
      <c r="A202" s="153"/>
      <c r="B202" s="153"/>
      <c r="C202" s="153"/>
      <c r="D202" s="153"/>
      <c r="E202" s="153"/>
      <c r="F202" s="153"/>
      <c r="G202" s="153"/>
      <c r="H202" s="97"/>
      <c r="I202" s="97"/>
      <c r="J202" s="97"/>
      <c r="K202" s="97"/>
      <c r="L202" s="97"/>
      <c r="M202" s="97"/>
      <c r="N202" s="97"/>
    </row>
    <row r="203" spans="1:14">
      <c r="A203" s="153"/>
      <c r="B203" s="153"/>
      <c r="C203" s="153"/>
      <c r="D203" s="153"/>
      <c r="E203" s="153"/>
      <c r="F203" s="153"/>
      <c r="G203" s="153"/>
      <c r="H203" s="97"/>
      <c r="I203" s="97"/>
      <c r="J203" s="97"/>
      <c r="K203" s="97"/>
      <c r="L203" s="97"/>
      <c r="M203" s="97"/>
      <c r="N203" s="97"/>
    </row>
    <row r="204" spans="1:14">
      <c r="A204" s="153"/>
      <c r="B204" s="153"/>
      <c r="C204" s="153"/>
      <c r="D204" s="153"/>
      <c r="E204" s="153"/>
      <c r="F204" s="153"/>
      <c r="G204" s="153"/>
      <c r="H204" s="97"/>
      <c r="I204" s="97"/>
      <c r="J204" s="97"/>
      <c r="K204" s="97"/>
      <c r="L204" s="97"/>
      <c r="M204" s="97"/>
      <c r="N204" s="97"/>
    </row>
    <row r="205" spans="1:14">
      <c r="A205" s="153"/>
      <c r="B205" s="153"/>
      <c r="C205" s="153"/>
      <c r="D205" s="153"/>
      <c r="E205" s="153"/>
      <c r="F205" s="153"/>
      <c r="G205" s="153"/>
      <c r="H205" s="97"/>
      <c r="I205" s="97"/>
      <c r="J205" s="97"/>
      <c r="K205" s="97"/>
      <c r="L205" s="97"/>
    </row>
    <row r="206" spans="1:14">
      <c r="A206" s="153"/>
      <c r="B206" s="153"/>
      <c r="C206" s="153"/>
      <c r="D206" s="153"/>
      <c r="E206" s="153"/>
      <c r="F206" s="153"/>
      <c r="G206" s="153"/>
      <c r="H206" s="97"/>
      <c r="I206" s="97"/>
      <c r="J206" s="97"/>
      <c r="K206" s="97"/>
      <c r="L206" s="97"/>
    </row>
    <row r="207" spans="1:14">
      <c r="A207" s="153"/>
      <c r="B207" s="153"/>
      <c r="C207" s="153"/>
      <c r="D207" s="153"/>
      <c r="E207" s="153"/>
      <c r="F207" s="153"/>
      <c r="G207" s="153"/>
      <c r="H207" s="97"/>
      <c r="I207" s="97"/>
      <c r="J207" s="97"/>
      <c r="K207" s="97"/>
      <c r="L207" s="97"/>
    </row>
    <row r="208" spans="1:14">
      <c r="A208" s="153"/>
      <c r="B208" s="153"/>
      <c r="C208" s="153"/>
      <c r="D208" s="153"/>
      <c r="E208" s="153"/>
      <c r="F208" s="153"/>
      <c r="G208" s="153"/>
      <c r="H208" s="97"/>
      <c r="I208" s="97"/>
      <c r="J208" s="97"/>
      <c r="K208" s="97"/>
      <c r="L208" s="97"/>
    </row>
    <row r="209" spans="1:12">
      <c r="A209" s="153"/>
      <c r="B209" s="153"/>
      <c r="C209" s="153"/>
      <c r="D209" s="153"/>
      <c r="E209" s="153"/>
      <c r="F209" s="153"/>
      <c r="G209" s="153"/>
      <c r="H209" s="97"/>
      <c r="I209" s="97"/>
      <c r="J209" s="97"/>
      <c r="K209" s="97"/>
      <c r="L209" s="97"/>
    </row>
    <row r="210" spans="1:12">
      <c r="A210" s="153"/>
      <c r="B210" s="153"/>
      <c r="C210" s="153"/>
      <c r="D210" s="153"/>
      <c r="E210" s="153"/>
      <c r="F210" s="153"/>
      <c r="G210" s="153"/>
      <c r="H210" s="97"/>
      <c r="I210" s="97"/>
      <c r="J210" s="97"/>
      <c r="K210" s="97"/>
      <c r="L210" s="97"/>
    </row>
    <row r="211" spans="1:12">
      <c r="A211" s="153"/>
      <c r="B211" s="153"/>
      <c r="C211" s="153"/>
      <c r="D211" s="153"/>
      <c r="E211" s="153"/>
      <c r="F211" s="153"/>
      <c r="G211" s="153"/>
      <c r="H211" s="97"/>
      <c r="I211" s="97"/>
      <c r="J211" s="97"/>
      <c r="K211" s="97"/>
      <c r="L211" s="97"/>
    </row>
    <row r="212" spans="1:12">
      <c r="A212" s="153"/>
      <c r="B212" s="153"/>
      <c r="C212" s="153"/>
      <c r="D212" s="153"/>
      <c r="E212" s="153"/>
      <c r="F212" s="153"/>
      <c r="G212" s="153"/>
      <c r="H212" s="97"/>
      <c r="I212" s="97"/>
      <c r="J212" s="97"/>
      <c r="K212" s="97"/>
      <c r="L212" s="97"/>
    </row>
    <row r="213" spans="1:12">
      <c r="A213" s="153"/>
      <c r="B213" s="153"/>
      <c r="C213" s="153"/>
      <c r="D213" s="153"/>
      <c r="E213" s="153"/>
      <c r="F213" s="153"/>
      <c r="G213" s="153"/>
      <c r="H213" s="97"/>
      <c r="I213" s="97"/>
      <c r="J213" s="97"/>
      <c r="K213" s="97"/>
      <c r="L213" s="97"/>
    </row>
    <row r="214" spans="1:12">
      <c r="A214" s="153"/>
      <c r="B214" s="153"/>
      <c r="C214" s="153"/>
      <c r="D214" s="153"/>
      <c r="E214" s="153"/>
      <c r="F214" s="153"/>
      <c r="G214" s="153"/>
      <c r="H214" s="97"/>
      <c r="I214" s="97"/>
      <c r="J214" s="97"/>
      <c r="K214" s="97"/>
      <c r="L214" s="97"/>
    </row>
    <row r="215" spans="1:12">
      <c r="A215" s="153"/>
      <c r="B215" s="153"/>
      <c r="C215" s="153"/>
      <c r="D215" s="153"/>
      <c r="E215" s="153"/>
      <c r="F215" s="153"/>
      <c r="G215" s="153"/>
      <c r="H215" s="97"/>
      <c r="I215" s="97"/>
      <c r="J215" s="97"/>
      <c r="K215" s="97"/>
      <c r="L215" s="97"/>
    </row>
    <row r="216" spans="1:12">
      <c r="A216" s="153"/>
      <c r="B216" s="153"/>
      <c r="C216" s="153"/>
      <c r="D216" s="153"/>
      <c r="E216" s="153"/>
      <c r="F216" s="153"/>
      <c r="G216" s="153"/>
      <c r="H216" s="97"/>
      <c r="I216" s="97"/>
      <c r="J216" s="97"/>
      <c r="K216" s="97"/>
      <c r="L216" s="97"/>
    </row>
    <row r="217" spans="1:12">
      <c r="A217" s="153"/>
      <c r="B217" s="153"/>
      <c r="C217" s="153"/>
      <c r="D217" s="153"/>
      <c r="E217" s="153"/>
      <c r="F217" s="153"/>
      <c r="G217" s="153"/>
      <c r="H217" s="97"/>
      <c r="I217" s="97"/>
      <c r="J217" s="97"/>
      <c r="K217" s="97"/>
      <c r="L217" s="97"/>
    </row>
    <row r="218" spans="1:12">
      <c r="A218" s="153"/>
      <c r="B218" s="153"/>
      <c r="C218" s="153"/>
      <c r="D218" s="153"/>
      <c r="E218" s="153"/>
      <c r="F218" s="153"/>
      <c r="G218" s="153"/>
      <c r="H218" s="97"/>
      <c r="I218" s="97"/>
      <c r="J218" s="97"/>
      <c r="K218" s="97"/>
      <c r="L218" s="97"/>
    </row>
    <row r="219" spans="1:12">
      <c r="A219" s="153"/>
      <c r="B219" s="153"/>
      <c r="C219" s="153"/>
      <c r="D219" s="153"/>
      <c r="E219" s="153"/>
      <c r="F219" s="153"/>
      <c r="G219" s="153"/>
      <c r="H219" s="97"/>
      <c r="I219" s="97"/>
      <c r="J219" s="97"/>
      <c r="K219" s="97"/>
      <c r="L219" s="97"/>
    </row>
    <row r="220" spans="1:12">
      <c r="A220" s="153"/>
      <c r="B220" s="153"/>
      <c r="C220" s="153"/>
      <c r="D220" s="153"/>
      <c r="E220" s="153"/>
      <c r="F220" s="153"/>
      <c r="G220" s="153"/>
      <c r="H220" s="97"/>
      <c r="I220" s="97"/>
      <c r="J220" s="97"/>
      <c r="K220" s="97"/>
      <c r="L220" s="97"/>
    </row>
    <row r="221" spans="1:12">
      <c r="A221" s="153"/>
      <c r="B221" s="153"/>
      <c r="C221" s="153"/>
      <c r="D221" s="153"/>
      <c r="E221" s="153"/>
      <c r="F221" s="153"/>
      <c r="G221" s="153"/>
      <c r="H221" s="97"/>
      <c r="I221" s="97"/>
      <c r="J221" s="97"/>
      <c r="K221" s="97"/>
      <c r="L221" s="97"/>
    </row>
    <row r="222" spans="1:12">
      <c r="A222" s="153"/>
      <c r="B222" s="153"/>
      <c r="C222" s="153"/>
      <c r="D222" s="153"/>
      <c r="E222" s="153"/>
      <c r="F222" s="153"/>
      <c r="G222" s="153"/>
      <c r="H222" s="97"/>
      <c r="I222" s="97"/>
      <c r="J222" s="97"/>
      <c r="K222" s="97"/>
      <c r="L222" s="97"/>
    </row>
    <row r="223" spans="1:12">
      <c r="A223" s="153"/>
      <c r="B223" s="153"/>
      <c r="C223" s="153"/>
      <c r="D223" s="153"/>
      <c r="E223" s="153"/>
      <c r="F223" s="153"/>
      <c r="G223" s="153"/>
      <c r="H223" s="97"/>
      <c r="I223" s="97"/>
      <c r="J223" s="97"/>
      <c r="K223" s="97"/>
      <c r="L223" s="97"/>
    </row>
    <row r="224" spans="1:12">
      <c r="A224" s="153"/>
      <c r="B224" s="153"/>
      <c r="C224" s="153"/>
      <c r="D224" s="153"/>
      <c r="E224" s="153"/>
      <c r="F224" s="153"/>
      <c r="G224" s="153"/>
      <c r="H224" s="97"/>
      <c r="I224" s="97"/>
      <c r="J224" s="97"/>
      <c r="K224" s="97"/>
      <c r="L224" s="97"/>
    </row>
    <row r="225" spans="1:12">
      <c r="A225" s="153"/>
      <c r="B225" s="153"/>
      <c r="C225" s="153"/>
      <c r="D225" s="153"/>
      <c r="E225" s="153"/>
      <c r="F225" s="153"/>
      <c r="G225" s="153"/>
      <c r="H225" s="97"/>
      <c r="I225" s="97"/>
      <c r="J225" s="97"/>
      <c r="K225" s="97"/>
      <c r="L225" s="97"/>
    </row>
    <row r="226" spans="1:12">
      <c r="A226" s="153"/>
      <c r="B226" s="153"/>
      <c r="C226" s="153"/>
      <c r="D226" s="153"/>
      <c r="E226" s="153"/>
      <c r="F226" s="153"/>
      <c r="G226" s="153"/>
      <c r="H226" s="97"/>
      <c r="I226" s="97"/>
      <c r="J226" s="97"/>
      <c r="K226" s="97"/>
      <c r="L226" s="97"/>
    </row>
    <row r="227" spans="1:12">
      <c r="A227" s="153"/>
      <c r="B227" s="153"/>
      <c r="C227" s="153"/>
      <c r="D227" s="153"/>
      <c r="E227" s="153"/>
      <c r="F227" s="153"/>
      <c r="G227" s="153"/>
      <c r="H227" s="97"/>
      <c r="I227" s="97"/>
      <c r="J227" s="97"/>
      <c r="K227" s="97"/>
      <c r="L227" s="97"/>
    </row>
    <row r="228" spans="1:12">
      <c r="A228" s="153"/>
      <c r="B228" s="153"/>
      <c r="C228" s="153"/>
      <c r="D228" s="153"/>
      <c r="E228" s="153"/>
      <c r="F228" s="153"/>
      <c r="G228" s="153"/>
      <c r="H228" s="97"/>
      <c r="I228" s="97"/>
      <c r="J228" s="97"/>
      <c r="K228" s="97"/>
      <c r="L228" s="97"/>
    </row>
    <row r="229" spans="1:12">
      <c r="A229" s="153"/>
      <c r="B229" s="153"/>
      <c r="C229" s="153"/>
      <c r="D229" s="153"/>
      <c r="E229" s="153"/>
      <c r="F229" s="153"/>
      <c r="G229" s="153"/>
      <c r="H229" s="97"/>
      <c r="I229" s="97"/>
      <c r="J229" s="97"/>
      <c r="K229" s="97"/>
      <c r="L229" s="97"/>
    </row>
    <row r="230" spans="1:12">
      <c r="A230" s="153"/>
      <c r="B230" s="153"/>
      <c r="C230" s="153"/>
      <c r="D230" s="153"/>
      <c r="E230" s="153"/>
      <c r="F230" s="153"/>
      <c r="G230" s="153"/>
      <c r="H230" s="97"/>
      <c r="I230" s="97"/>
      <c r="J230" s="97"/>
      <c r="K230" s="97"/>
      <c r="L230" s="97"/>
    </row>
    <row r="231" spans="1:12">
      <c r="A231" s="153"/>
      <c r="B231" s="153"/>
      <c r="C231" s="153"/>
      <c r="D231" s="153"/>
      <c r="E231" s="153"/>
      <c r="F231" s="153"/>
      <c r="G231" s="153"/>
      <c r="H231" s="97"/>
      <c r="I231" s="97"/>
      <c r="J231" s="97"/>
      <c r="K231" s="97"/>
      <c r="L231" s="97"/>
    </row>
    <row r="232" spans="1:12">
      <c r="A232" s="153"/>
      <c r="B232" s="153"/>
      <c r="C232" s="153"/>
      <c r="D232" s="153"/>
      <c r="E232" s="153"/>
      <c r="F232" s="153"/>
      <c r="G232" s="153"/>
      <c r="H232" s="97"/>
      <c r="I232" s="97"/>
      <c r="J232" s="97"/>
      <c r="K232" s="97"/>
      <c r="L232" s="97"/>
    </row>
    <row r="233" spans="1:12">
      <c r="A233" s="153"/>
      <c r="B233" s="153"/>
      <c r="C233" s="153"/>
      <c r="D233" s="153"/>
      <c r="E233" s="153"/>
      <c r="F233" s="153"/>
      <c r="G233" s="153"/>
      <c r="H233" s="97"/>
      <c r="I233" s="97"/>
      <c r="J233" s="97"/>
      <c r="K233" s="97"/>
      <c r="L233" s="97"/>
    </row>
    <row r="234" spans="1:12">
      <c r="A234" s="153"/>
      <c r="B234" s="153"/>
      <c r="C234" s="153"/>
      <c r="D234" s="153"/>
      <c r="E234" s="153"/>
      <c r="F234" s="153"/>
      <c r="G234" s="153"/>
      <c r="H234" s="97"/>
      <c r="I234" s="97"/>
      <c r="J234" s="97"/>
      <c r="K234" s="97"/>
      <c r="L234" s="97"/>
    </row>
    <row r="235" spans="1:12">
      <c r="A235" s="153"/>
      <c r="B235" s="153"/>
      <c r="C235" s="153"/>
      <c r="D235" s="153"/>
      <c r="E235" s="153"/>
      <c r="F235" s="153"/>
      <c r="G235" s="153"/>
      <c r="H235" s="97"/>
      <c r="I235" s="97"/>
      <c r="J235" s="97"/>
      <c r="K235" s="97"/>
      <c r="L235" s="97"/>
    </row>
    <row r="236" spans="1:12">
      <c r="A236" s="153"/>
      <c r="B236" s="153"/>
      <c r="C236" s="153"/>
      <c r="D236" s="153"/>
      <c r="E236" s="153"/>
      <c r="F236" s="153"/>
      <c r="G236" s="153"/>
      <c r="H236" s="97"/>
      <c r="I236" s="97"/>
      <c r="J236" s="97"/>
      <c r="K236" s="97"/>
      <c r="L236" s="97"/>
    </row>
    <row r="237" spans="1:12">
      <c r="A237" s="153"/>
      <c r="B237" s="153"/>
      <c r="C237" s="153"/>
      <c r="D237" s="153"/>
      <c r="E237" s="153"/>
      <c r="F237" s="153"/>
      <c r="G237" s="153"/>
      <c r="H237" s="97"/>
      <c r="I237" s="97"/>
      <c r="J237" s="97"/>
      <c r="K237" s="97"/>
      <c r="L237" s="97"/>
    </row>
    <row r="238" spans="1:12">
      <c r="A238" s="153"/>
      <c r="B238" s="153"/>
      <c r="C238" s="153"/>
      <c r="D238" s="153"/>
      <c r="E238" s="153"/>
      <c r="F238" s="153"/>
      <c r="G238" s="153"/>
      <c r="H238" s="97"/>
      <c r="I238" s="97"/>
      <c r="J238" s="97"/>
      <c r="K238" s="97"/>
      <c r="L238" s="97"/>
    </row>
    <row r="239" spans="1:12">
      <c r="A239" s="153"/>
      <c r="B239" s="153"/>
      <c r="C239" s="153"/>
      <c r="D239" s="153"/>
      <c r="E239" s="153"/>
      <c r="F239" s="153"/>
      <c r="G239" s="153"/>
      <c r="H239" s="97"/>
      <c r="I239" s="97"/>
      <c r="J239" s="97"/>
      <c r="K239" s="97"/>
      <c r="L239" s="97"/>
    </row>
    <row r="240" spans="1:12">
      <c r="A240" s="153"/>
      <c r="B240" s="153"/>
      <c r="C240" s="153"/>
      <c r="D240" s="153"/>
      <c r="E240" s="153"/>
      <c r="F240" s="153"/>
      <c r="G240" s="153"/>
      <c r="H240" s="97"/>
      <c r="I240" s="97"/>
      <c r="J240" s="97"/>
      <c r="K240" s="97"/>
      <c r="L240" s="97"/>
    </row>
    <row r="241" spans="1:12">
      <c r="A241" s="153"/>
      <c r="B241" s="153"/>
      <c r="C241" s="153"/>
      <c r="D241" s="153"/>
      <c r="E241" s="153"/>
      <c r="F241" s="153"/>
      <c r="G241" s="153"/>
      <c r="H241" s="97"/>
      <c r="I241" s="97"/>
      <c r="J241" s="97"/>
      <c r="K241" s="97"/>
      <c r="L241" s="97"/>
    </row>
    <row r="242" spans="1:12">
      <c r="A242" s="153"/>
      <c r="B242" s="153"/>
      <c r="C242" s="153"/>
      <c r="D242" s="153"/>
      <c r="E242" s="153"/>
      <c r="F242" s="153"/>
      <c r="G242" s="153"/>
      <c r="H242" s="97"/>
      <c r="I242" s="97"/>
      <c r="J242" s="97"/>
      <c r="K242" s="97"/>
      <c r="L242" s="97"/>
    </row>
    <row r="243" spans="1:12">
      <c r="A243" s="153"/>
      <c r="B243" s="153"/>
      <c r="C243" s="153"/>
      <c r="D243" s="153"/>
      <c r="E243" s="153"/>
      <c r="F243" s="153"/>
      <c r="G243" s="153"/>
      <c r="H243" s="97"/>
      <c r="I243" s="97"/>
      <c r="J243" s="97"/>
      <c r="K243" s="97"/>
      <c r="L243" s="97"/>
    </row>
    <row r="244" spans="1:12">
      <c r="A244" s="153"/>
      <c r="B244" s="153"/>
      <c r="C244" s="153"/>
      <c r="D244" s="153"/>
      <c r="E244" s="153"/>
      <c r="F244" s="153"/>
      <c r="G244" s="153"/>
      <c r="H244" s="97"/>
      <c r="I244" s="97"/>
      <c r="J244" s="97"/>
      <c r="K244" s="97"/>
      <c r="L244" s="97"/>
    </row>
    <row r="245" spans="1:12">
      <c r="A245" s="153"/>
      <c r="B245" s="153"/>
      <c r="C245" s="153"/>
      <c r="D245" s="153"/>
      <c r="E245" s="153"/>
      <c r="F245" s="153"/>
      <c r="G245" s="153"/>
      <c r="H245" s="97"/>
      <c r="I245" s="97"/>
      <c r="J245" s="97"/>
      <c r="K245" s="97"/>
      <c r="L245" s="97"/>
    </row>
    <row r="246" spans="1:12">
      <c r="A246" s="153"/>
      <c r="B246" s="153"/>
      <c r="C246" s="153"/>
      <c r="D246" s="153"/>
      <c r="E246" s="153"/>
      <c r="F246" s="153"/>
      <c r="G246" s="153"/>
      <c r="H246" s="97"/>
      <c r="I246" s="97"/>
      <c r="J246" s="97"/>
      <c r="K246" s="97"/>
      <c r="L246" s="97"/>
    </row>
    <row r="247" spans="1:12">
      <c r="A247" s="153"/>
      <c r="B247" s="153"/>
      <c r="C247" s="153"/>
      <c r="D247" s="153"/>
      <c r="E247" s="153"/>
      <c r="F247" s="153"/>
      <c r="G247" s="153"/>
      <c r="H247" s="97"/>
      <c r="I247" s="97"/>
      <c r="J247" s="97"/>
      <c r="K247" s="97"/>
      <c r="L247" s="97"/>
    </row>
    <row r="248" spans="1:12">
      <c r="A248" s="153"/>
      <c r="B248" s="153"/>
      <c r="C248" s="153"/>
      <c r="D248" s="153"/>
      <c r="E248" s="153"/>
      <c r="F248" s="153"/>
      <c r="G248" s="153"/>
      <c r="H248" s="97"/>
      <c r="I248" s="97"/>
      <c r="J248" s="97"/>
      <c r="K248" s="97"/>
      <c r="L248" s="97"/>
    </row>
    <row r="249" spans="1:12">
      <c r="A249" s="153"/>
      <c r="B249" s="153"/>
      <c r="C249" s="153"/>
      <c r="D249" s="153"/>
      <c r="E249" s="153"/>
      <c r="F249" s="153"/>
      <c r="G249" s="153"/>
      <c r="H249" s="97"/>
      <c r="I249" s="97"/>
      <c r="J249" s="97"/>
      <c r="K249" s="97"/>
      <c r="L249" s="97"/>
    </row>
    <row r="250" spans="1:12">
      <c r="A250" s="153"/>
      <c r="B250" s="153"/>
      <c r="C250" s="153"/>
      <c r="D250" s="153"/>
      <c r="E250" s="153"/>
      <c r="F250" s="153"/>
      <c r="G250" s="153"/>
      <c r="H250" s="97"/>
      <c r="I250" s="97"/>
      <c r="J250" s="97"/>
      <c r="K250" s="97"/>
      <c r="L250" s="97"/>
    </row>
    <row r="251" spans="1:12">
      <c r="A251" s="153"/>
      <c r="B251" s="153"/>
      <c r="C251" s="153"/>
      <c r="D251" s="153"/>
      <c r="E251" s="153"/>
      <c r="F251" s="153"/>
      <c r="G251" s="153"/>
      <c r="H251" s="97"/>
      <c r="I251" s="97"/>
      <c r="J251" s="97"/>
      <c r="K251" s="97"/>
      <c r="L251" s="97"/>
    </row>
    <row r="252" spans="1:12">
      <c r="A252" s="153"/>
      <c r="B252" s="153"/>
      <c r="C252" s="153"/>
      <c r="D252" s="153"/>
      <c r="E252" s="153"/>
      <c r="F252" s="153"/>
      <c r="G252" s="153"/>
      <c r="H252" s="97"/>
      <c r="I252" s="97"/>
      <c r="J252" s="97"/>
      <c r="K252" s="97"/>
      <c r="L252" s="97"/>
    </row>
    <row r="253" spans="1:12">
      <c r="A253" s="153"/>
      <c r="B253" s="153"/>
      <c r="C253" s="153"/>
      <c r="D253" s="153"/>
      <c r="E253" s="153"/>
      <c r="F253" s="153"/>
      <c r="G253" s="153"/>
      <c r="H253" s="97"/>
      <c r="I253" s="97"/>
      <c r="J253" s="97"/>
      <c r="K253" s="97"/>
      <c r="L253" s="97"/>
    </row>
    <row r="254" spans="1:12">
      <c r="A254" s="153"/>
      <c r="B254" s="153"/>
      <c r="C254" s="153"/>
      <c r="D254" s="153"/>
      <c r="E254" s="153"/>
      <c r="F254" s="153"/>
      <c r="G254" s="153"/>
      <c r="H254" s="97"/>
      <c r="I254" s="97"/>
      <c r="J254" s="97"/>
      <c r="K254" s="97"/>
      <c r="L254" s="97"/>
    </row>
    <row r="255" spans="1:12">
      <c r="A255" s="153"/>
      <c r="B255" s="153"/>
      <c r="C255" s="153"/>
      <c r="D255" s="153"/>
      <c r="E255" s="153"/>
      <c r="F255" s="153"/>
      <c r="G255" s="153"/>
      <c r="H255" s="97"/>
      <c r="I255" s="97"/>
      <c r="J255" s="97"/>
      <c r="K255" s="97"/>
      <c r="L255" s="97"/>
    </row>
    <row r="256" spans="1:12">
      <c r="A256" s="153"/>
      <c r="B256" s="153"/>
      <c r="C256" s="153"/>
      <c r="D256" s="153"/>
      <c r="E256" s="153"/>
      <c r="F256" s="153"/>
      <c r="G256" s="153"/>
      <c r="H256" s="97"/>
      <c r="I256" s="97"/>
      <c r="J256" s="97"/>
      <c r="K256" s="97"/>
      <c r="L256" s="97"/>
    </row>
    <row r="257" spans="1:12">
      <c r="A257" s="153"/>
      <c r="B257" s="153"/>
      <c r="C257" s="153"/>
      <c r="D257" s="153"/>
      <c r="E257" s="153"/>
      <c r="F257" s="153"/>
      <c r="G257" s="153"/>
      <c r="H257" s="97"/>
      <c r="I257" s="97"/>
      <c r="J257" s="97"/>
      <c r="K257" s="97"/>
      <c r="L257" s="97"/>
    </row>
    <row r="258" spans="1:12">
      <c r="A258" s="153"/>
      <c r="B258" s="153"/>
      <c r="C258" s="153"/>
      <c r="D258" s="153"/>
      <c r="E258" s="153"/>
      <c r="F258" s="153"/>
      <c r="G258" s="153"/>
      <c r="H258" s="97"/>
      <c r="I258" s="97"/>
      <c r="J258" s="97"/>
      <c r="K258" s="97"/>
      <c r="L258" s="97"/>
    </row>
    <row r="259" spans="1:12">
      <c r="A259" s="153"/>
      <c r="B259" s="153"/>
      <c r="C259" s="153"/>
      <c r="D259" s="153"/>
      <c r="E259" s="153"/>
      <c r="F259" s="153"/>
      <c r="G259" s="153"/>
      <c r="H259" s="97"/>
      <c r="I259" s="97"/>
      <c r="J259" s="97"/>
      <c r="K259" s="97"/>
      <c r="L259" s="97"/>
    </row>
    <row r="260" spans="1:12">
      <c r="A260" s="153"/>
      <c r="B260" s="153"/>
      <c r="C260" s="153"/>
      <c r="D260" s="153"/>
      <c r="E260" s="153"/>
      <c r="F260" s="153"/>
      <c r="G260" s="153"/>
      <c r="H260" s="97"/>
      <c r="I260" s="97"/>
      <c r="J260" s="97"/>
      <c r="K260" s="97"/>
      <c r="L260" s="97"/>
    </row>
    <row r="261" spans="1:12">
      <c r="A261" s="153"/>
      <c r="B261" s="153"/>
      <c r="C261" s="153"/>
      <c r="D261" s="153"/>
      <c r="E261" s="153"/>
      <c r="F261" s="153"/>
      <c r="G261" s="153"/>
      <c r="H261" s="97"/>
      <c r="I261" s="97"/>
      <c r="J261" s="97"/>
      <c r="K261" s="97"/>
      <c r="L261" s="97"/>
    </row>
    <row r="262" spans="1:12">
      <c r="A262" s="153"/>
      <c r="B262" s="153"/>
      <c r="C262" s="153"/>
      <c r="D262" s="153"/>
      <c r="E262" s="153"/>
      <c r="F262" s="153"/>
      <c r="G262" s="153"/>
    </row>
    <row r="263" spans="1:12">
      <c r="A263" s="153"/>
      <c r="B263" s="153"/>
      <c r="C263" s="153"/>
      <c r="D263" s="153"/>
      <c r="E263" s="153"/>
      <c r="F263" s="153"/>
      <c r="G263" s="153"/>
    </row>
    <row r="264" spans="1:12">
      <c r="A264" s="153"/>
      <c r="B264" s="153"/>
      <c r="C264" s="153"/>
      <c r="D264" s="153"/>
      <c r="E264" s="153"/>
      <c r="F264" s="153"/>
      <c r="G264" s="153"/>
    </row>
    <row r="265" spans="1:12">
      <c r="A265" s="153"/>
      <c r="B265" s="153"/>
      <c r="C265" s="153"/>
      <c r="D265" s="153"/>
      <c r="E265" s="153"/>
      <c r="F265" s="153"/>
      <c r="G265" s="153"/>
    </row>
    <row r="266" spans="1:12">
      <c r="A266" s="153"/>
      <c r="B266" s="153"/>
      <c r="C266" s="153"/>
      <c r="D266" s="153"/>
      <c r="E266" s="153"/>
      <c r="F266" s="153"/>
      <c r="G266" s="153"/>
    </row>
    <row r="267" spans="1:12">
      <c r="A267" s="153"/>
      <c r="B267" s="153"/>
      <c r="C267" s="153"/>
      <c r="D267" s="153"/>
      <c r="E267" s="153"/>
      <c r="F267" s="153"/>
      <c r="G267" s="153"/>
    </row>
    <row r="268" spans="1:12">
      <c r="A268" s="153"/>
      <c r="B268" s="153"/>
      <c r="C268" s="153"/>
      <c r="D268" s="153"/>
      <c r="E268" s="153"/>
      <c r="F268" s="153"/>
      <c r="G268" s="153"/>
    </row>
    <row r="269" spans="1:12">
      <c r="A269" s="153"/>
      <c r="B269" s="153"/>
      <c r="C269" s="153"/>
      <c r="D269" s="153"/>
      <c r="E269" s="153"/>
      <c r="F269" s="153"/>
      <c r="G269" s="153"/>
    </row>
    <row r="270" spans="1:12">
      <c r="A270" s="153"/>
      <c r="B270" s="153"/>
      <c r="C270" s="153"/>
      <c r="D270" s="153"/>
      <c r="E270" s="153"/>
      <c r="F270" s="153"/>
      <c r="G270" s="153"/>
    </row>
  </sheetData>
  <mergeCells count="437">
    <mergeCell ref="H96:K115"/>
    <mergeCell ref="E82:G82"/>
    <mergeCell ref="A83:D83"/>
    <mergeCell ref="E83:G83"/>
    <mergeCell ref="A84:D84"/>
    <mergeCell ref="E84:G84"/>
    <mergeCell ref="A75:D75"/>
    <mergeCell ref="E75:G75"/>
    <mergeCell ref="A76:D76"/>
    <mergeCell ref="E76:G76"/>
    <mergeCell ref="A77:D77"/>
    <mergeCell ref="E77:G77"/>
    <mergeCell ref="A78:D78"/>
    <mergeCell ref="E78:G78"/>
    <mergeCell ref="A79:D79"/>
    <mergeCell ref="E79:G79"/>
    <mergeCell ref="A80:D80"/>
    <mergeCell ref="E80:G80"/>
    <mergeCell ref="A81:D81"/>
    <mergeCell ref="E81:G81"/>
    <mergeCell ref="E87:G87"/>
    <mergeCell ref="A88:D88"/>
    <mergeCell ref="E88:G88"/>
    <mergeCell ref="A89:D89"/>
    <mergeCell ref="A67:D67"/>
    <mergeCell ref="A68:D68"/>
    <mergeCell ref="E67:G67"/>
    <mergeCell ref="A63:D63"/>
    <mergeCell ref="A64:D64"/>
    <mergeCell ref="A65:D65"/>
    <mergeCell ref="A60:D60"/>
    <mergeCell ref="A61:D61"/>
    <mergeCell ref="A62:D62"/>
    <mergeCell ref="E60:G60"/>
    <mergeCell ref="E61:G61"/>
    <mergeCell ref="E62:G62"/>
    <mergeCell ref="E63:G63"/>
    <mergeCell ref="E64:G64"/>
    <mergeCell ref="E65:G65"/>
    <mergeCell ref="E66:G66"/>
    <mergeCell ref="A53:D53"/>
    <mergeCell ref="E53:G53"/>
    <mergeCell ref="E54:G54"/>
    <mergeCell ref="E55:G55"/>
    <mergeCell ref="E56:G56"/>
    <mergeCell ref="E57:G57"/>
    <mergeCell ref="E58:G58"/>
    <mergeCell ref="E59:G59"/>
    <mergeCell ref="A66:D66"/>
    <mergeCell ref="A57:D57"/>
    <mergeCell ref="A58:D58"/>
    <mergeCell ref="A59:D59"/>
    <mergeCell ref="A54:D54"/>
    <mergeCell ref="A55:D55"/>
    <mergeCell ref="A56:D56"/>
    <mergeCell ref="E89:G89"/>
    <mergeCell ref="E68:G68"/>
    <mergeCell ref="E69:G69"/>
    <mergeCell ref="E70:G70"/>
    <mergeCell ref="E71:G71"/>
    <mergeCell ref="E73:G73"/>
    <mergeCell ref="E85:G85"/>
    <mergeCell ref="A87:D87"/>
    <mergeCell ref="A73:D73"/>
    <mergeCell ref="A85:D85"/>
    <mergeCell ref="A86:D86"/>
    <mergeCell ref="E86:G86"/>
    <mergeCell ref="A69:D69"/>
    <mergeCell ref="A70:D70"/>
    <mergeCell ref="A71:D71"/>
    <mergeCell ref="A74:D74"/>
    <mergeCell ref="E74:G74"/>
    <mergeCell ref="A72:D72"/>
    <mergeCell ref="E72:G72"/>
    <mergeCell ref="A82:D82"/>
    <mergeCell ref="A93:D93"/>
    <mergeCell ref="E93:G93"/>
    <mergeCell ref="A95:D95"/>
    <mergeCell ref="E95:G95"/>
    <mergeCell ref="A96:D96"/>
    <mergeCell ref="E96:G96"/>
    <mergeCell ref="A90:D90"/>
    <mergeCell ref="E90:G90"/>
    <mergeCell ref="A91:D91"/>
    <mergeCell ref="E91:G91"/>
    <mergeCell ref="A92:D92"/>
    <mergeCell ref="E92:G92"/>
    <mergeCell ref="A94:D94"/>
    <mergeCell ref="E94:G94"/>
    <mergeCell ref="A100:D100"/>
    <mergeCell ref="E100:G100"/>
    <mergeCell ref="A101:D101"/>
    <mergeCell ref="E101:G101"/>
    <mergeCell ref="A102:D102"/>
    <mergeCell ref="E102:G102"/>
    <mergeCell ref="A97:D97"/>
    <mergeCell ref="E97:G97"/>
    <mergeCell ref="A98:D98"/>
    <mergeCell ref="E98:G98"/>
    <mergeCell ref="A99:D99"/>
    <mergeCell ref="E99:G99"/>
    <mergeCell ref="A106:D106"/>
    <mergeCell ref="E106:G106"/>
    <mergeCell ref="A107:D107"/>
    <mergeCell ref="E107:G107"/>
    <mergeCell ref="A108:D108"/>
    <mergeCell ref="E108:G108"/>
    <mergeCell ref="A103:D103"/>
    <mergeCell ref="E103:G103"/>
    <mergeCell ref="A104:D104"/>
    <mergeCell ref="E104:G104"/>
    <mergeCell ref="A105:D105"/>
    <mergeCell ref="E105:G105"/>
    <mergeCell ref="A112:D112"/>
    <mergeCell ref="E112:G112"/>
    <mergeCell ref="A113:D113"/>
    <mergeCell ref="E113:G113"/>
    <mergeCell ref="A114:D114"/>
    <mergeCell ref="E114:G114"/>
    <mergeCell ref="A109:D109"/>
    <mergeCell ref="E109:G109"/>
    <mergeCell ref="A110:D110"/>
    <mergeCell ref="E110:G110"/>
    <mergeCell ref="A111:D111"/>
    <mergeCell ref="E111:G111"/>
    <mergeCell ref="A118:D118"/>
    <mergeCell ref="E118:G118"/>
    <mergeCell ref="A119:D119"/>
    <mergeCell ref="E119:G119"/>
    <mergeCell ref="A120:D120"/>
    <mergeCell ref="E120:G120"/>
    <mergeCell ref="A115:D115"/>
    <mergeCell ref="E115:G115"/>
    <mergeCell ref="A116:D116"/>
    <mergeCell ref="E116:G116"/>
    <mergeCell ref="A117:D117"/>
    <mergeCell ref="E117:G117"/>
    <mergeCell ref="A124:D124"/>
    <mergeCell ref="E124:G124"/>
    <mergeCell ref="A125:D125"/>
    <mergeCell ref="E125:G125"/>
    <mergeCell ref="A126:D126"/>
    <mergeCell ref="E126:G126"/>
    <mergeCell ref="A121:D121"/>
    <mergeCell ref="E121:G121"/>
    <mergeCell ref="A122:D122"/>
    <mergeCell ref="E122:G122"/>
    <mergeCell ref="A123:D123"/>
    <mergeCell ref="E123:G123"/>
    <mergeCell ref="A130:D130"/>
    <mergeCell ref="E130:G130"/>
    <mergeCell ref="A131:D131"/>
    <mergeCell ref="E131:G131"/>
    <mergeCell ref="A132:D132"/>
    <mergeCell ref="E132:G132"/>
    <mergeCell ref="A127:D127"/>
    <mergeCell ref="E127:G127"/>
    <mergeCell ref="A128:D128"/>
    <mergeCell ref="E128:G128"/>
    <mergeCell ref="A129:D129"/>
    <mergeCell ref="E129:G129"/>
    <mergeCell ref="A136:D136"/>
    <mergeCell ref="E136:G136"/>
    <mergeCell ref="A137:D137"/>
    <mergeCell ref="E137:G137"/>
    <mergeCell ref="A138:D138"/>
    <mergeCell ref="E138:G138"/>
    <mergeCell ref="A133:D133"/>
    <mergeCell ref="E133:G133"/>
    <mergeCell ref="A134:D134"/>
    <mergeCell ref="E134:G134"/>
    <mergeCell ref="A135:D135"/>
    <mergeCell ref="E135:G135"/>
    <mergeCell ref="A142:D142"/>
    <mergeCell ref="E142:G142"/>
    <mergeCell ref="A143:D143"/>
    <mergeCell ref="E143:G143"/>
    <mergeCell ref="A144:D144"/>
    <mergeCell ref="E144:G144"/>
    <mergeCell ref="A139:D139"/>
    <mergeCell ref="E139:G139"/>
    <mergeCell ref="A140:D140"/>
    <mergeCell ref="E140:G140"/>
    <mergeCell ref="A141:D141"/>
    <mergeCell ref="E141:G141"/>
    <mergeCell ref="A148:D148"/>
    <mergeCell ref="E148:G148"/>
    <mergeCell ref="A149:D149"/>
    <mergeCell ref="E149:G149"/>
    <mergeCell ref="A150:D150"/>
    <mergeCell ref="E150:G150"/>
    <mergeCell ref="A145:D145"/>
    <mergeCell ref="E145:G145"/>
    <mergeCell ref="A146:D146"/>
    <mergeCell ref="E146:G146"/>
    <mergeCell ref="A147:D147"/>
    <mergeCell ref="E147:G147"/>
    <mergeCell ref="A154:D154"/>
    <mergeCell ref="E154:G154"/>
    <mergeCell ref="A155:D155"/>
    <mergeCell ref="E155:G155"/>
    <mergeCell ref="A156:D156"/>
    <mergeCell ref="E156:G156"/>
    <mergeCell ref="A151:D151"/>
    <mergeCell ref="E151:G151"/>
    <mergeCell ref="A152:D152"/>
    <mergeCell ref="E152:G152"/>
    <mergeCell ref="A153:D153"/>
    <mergeCell ref="E153:G153"/>
    <mergeCell ref="A160:D160"/>
    <mergeCell ref="E160:G160"/>
    <mergeCell ref="A161:D161"/>
    <mergeCell ref="E161:G161"/>
    <mergeCell ref="A162:D162"/>
    <mergeCell ref="E162:G162"/>
    <mergeCell ref="A157:D157"/>
    <mergeCell ref="E157:G157"/>
    <mergeCell ref="A158:D158"/>
    <mergeCell ref="E158:G158"/>
    <mergeCell ref="A159:D159"/>
    <mergeCell ref="E159:G159"/>
    <mergeCell ref="A166:D166"/>
    <mergeCell ref="E166:G166"/>
    <mergeCell ref="A167:D167"/>
    <mergeCell ref="E167:G167"/>
    <mergeCell ref="A168:D168"/>
    <mergeCell ref="E168:G168"/>
    <mergeCell ref="A163:D163"/>
    <mergeCell ref="E163:G163"/>
    <mergeCell ref="A164:D164"/>
    <mergeCell ref="E164:G164"/>
    <mergeCell ref="A165:D165"/>
    <mergeCell ref="E165:G165"/>
    <mergeCell ref="A172:D172"/>
    <mergeCell ref="E172:G172"/>
    <mergeCell ref="A173:D173"/>
    <mergeCell ref="E173:G173"/>
    <mergeCell ref="A174:D174"/>
    <mergeCell ref="E174:G174"/>
    <mergeCell ref="A169:D169"/>
    <mergeCell ref="E169:G169"/>
    <mergeCell ref="A170:D170"/>
    <mergeCell ref="E170:G170"/>
    <mergeCell ref="A171:D171"/>
    <mergeCell ref="E171:G171"/>
    <mergeCell ref="A178:D178"/>
    <mergeCell ref="E178:G178"/>
    <mergeCell ref="A179:D179"/>
    <mergeCell ref="E179:G179"/>
    <mergeCell ref="A180:D180"/>
    <mergeCell ref="E180:G180"/>
    <mergeCell ref="A175:D175"/>
    <mergeCell ref="E175:G175"/>
    <mergeCell ref="A176:D176"/>
    <mergeCell ref="E176:G176"/>
    <mergeCell ref="A177:D177"/>
    <mergeCell ref="E177:G177"/>
    <mergeCell ref="A184:D184"/>
    <mergeCell ref="E184:G184"/>
    <mergeCell ref="A185:D185"/>
    <mergeCell ref="E185:G185"/>
    <mergeCell ref="A186:D186"/>
    <mergeCell ref="E186:G186"/>
    <mergeCell ref="A181:D181"/>
    <mergeCell ref="E181:G181"/>
    <mergeCell ref="A182:D182"/>
    <mergeCell ref="E182:G182"/>
    <mergeCell ref="A183:D183"/>
    <mergeCell ref="E183:G183"/>
    <mergeCell ref="A190:D190"/>
    <mergeCell ref="E190:G190"/>
    <mergeCell ref="A191:D191"/>
    <mergeCell ref="E191:G191"/>
    <mergeCell ref="A192:D192"/>
    <mergeCell ref="E192:G192"/>
    <mergeCell ref="A187:D187"/>
    <mergeCell ref="E187:G187"/>
    <mergeCell ref="A188:D188"/>
    <mergeCell ref="E188:G188"/>
    <mergeCell ref="A189:D189"/>
    <mergeCell ref="E189:G189"/>
    <mergeCell ref="A196:D196"/>
    <mergeCell ref="E196:G196"/>
    <mergeCell ref="A197:D197"/>
    <mergeCell ref="E197:G197"/>
    <mergeCell ref="A198:D198"/>
    <mergeCell ref="E198:G198"/>
    <mergeCell ref="A193:D193"/>
    <mergeCell ref="E193:G193"/>
    <mergeCell ref="A194:D194"/>
    <mergeCell ref="E194:G194"/>
    <mergeCell ref="A195:D195"/>
    <mergeCell ref="E195:G195"/>
    <mergeCell ref="A202:D202"/>
    <mergeCell ref="E202:G202"/>
    <mergeCell ref="A203:D203"/>
    <mergeCell ref="E203:G203"/>
    <mergeCell ref="A204:D204"/>
    <mergeCell ref="E204:G204"/>
    <mergeCell ref="A199:D199"/>
    <mergeCell ref="E199:G199"/>
    <mergeCell ref="A200:D200"/>
    <mergeCell ref="E200:G200"/>
    <mergeCell ref="A201:D201"/>
    <mergeCell ref="E201:G201"/>
    <mergeCell ref="A208:D208"/>
    <mergeCell ref="E208:G208"/>
    <mergeCell ref="A209:D209"/>
    <mergeCell ref="E209:G209"/>
    <mergeCell ref="A210:D210"/>
    <mergeCell ref="E210:G210"/>
    <mergeCell ref="A205:D205"/>
    <mergeCell ref="E205:G205"/>
    <mergeCell ref="A206:D206"/>
    <mergeCell ref="E206:G206"/>
    <mergeCell ref="A207:D207"/>
    <mergeCell ref="E207:G207"/>
    <mergeCell ref="A214:D214"/>
    <mergeCell ref="E214:G214"/>
    <mergeCell ref="A215:D215"/>
    <mergeCell ref="E215:G215"/>
    <mergeCell ref="A216:D216"/>
    <mergeCell ref="E216:G216"/>
    <mergeCell ref="A211:D211"/>
    <mergeCell ref="E211:G211"/>
    <mergeCell ref="A212:D212"/>
    <mergeCell ref="E212:G212"/>
    <mergeCell ref="A213:D213"/>
    <mergeCell ref="E213:G213"/>
    <mergeCell ref="A220:D220"/>
    <mergeCell ref="E220:G220"/>
    <mergeCell ref="A221:D221"/>
    <mergeCell ref="E221:G221"/>
    <mergeCell ref="A222:D222"/>
    <mergeCell ref="E222:G222"/>
    <mergeCell ref="A217:D217"/>
    <mergeCell ref="E217:G217"/>
    <mergeCell ref="A218:D218"/>
    <mergeCell ref="E218:G218"/>
    <mergeCell ref="A219:D219"/>
    <mergeCell ref="E219:G219"/>
    <mergeCell ref="A226:D226"/>
    <mergeCell ref="E226:G226"/>
    <mergeCell ref="A227:D227"/>
    <mergeCell ref="E227:G227"/>
    <mergeCell ref="A228:D228"/>
    <mergeCell ref="E228:G228"/>
    <mergeCell ref="A223:D223"/>
    <mergeCell ref="E223:G223"/>
    <mergeCell ref="A224:D224"/>
    <mergeCell ref="E224:G224"/>
    <mergeCell ref="A225:D225"/>
    <mergeCell ref="E225:G225"/>
    <mergeCell ref="A232:D232"/>
    <mergeCell ref="E232:G232"/>
    <mergeCell ref="A233:D233"/>
    <mergeCell ref="E233:G233"/>
    <mergeCell ref="A234:D234"/>
    <mergeCell ref="E234:G234"/>
    <mergeCell ref="A229:D229"/>
    <mergeCell ref="E229:G229"/>
    <mergeCell ref="A230:D230"/>
    <mergeCell ref="E230:G230"/>
    <mergeCell ref="A231:D231"/>
    <mergeCell ref="E231:G231"/>
    <mergeCell ref="A238:D238"/>
    <mergeCell ref="E238:G238"/>
    <mergeCell ref="A239:D239"/>
    <mergeCell ref="E239:G239"/>
    <mergeCell ref="A240:D240"/>
    <mergeCell ref="E240:G240"/>
    <mergeCell ref="A235:D235"/>
    <mergeCell ref="E235:G235"/>
    <mergeCell ref="A236:D236"/>
    <mergeCell ref="E236:G236"/>
    <mergeCell ref="A237:D237"/>
    <mergeCell ref="E237:G237"/>
    <mergeCell ref="A244:D244"/>
    <mergeCell ref="E244:G244"/>
    <mergeCell ref="A245:D245"/>
    <mergeCell ref="E245:G245"/>
    <mergeCell ref="A246:D246"/>
    <mergeCell ref="E246:G246"/>
    <mergeCell ref="A241:D241"/>
    <mergeCell ref="E241:G241"/>
    <mergeCell ref="A242:D242"/>
    <mergeCell ref="E242:G242"/>
    <mergeCell ref="A243:D243"/>
    <mergeCell ref="E243:G243"/>
    <mergeCell ref="A250:D250"/>
    <mergeCell ref="E250:G250"/>
    <mergeCell ref="A251:D251"/>
    <mergeCell ref="E251:G251"/>
    <mergeCell ref="A252:D252"/>
    <mergeCell ref="E252:G252"/>
    <mergeCell ref="A247:D247"/>
    <mergeCell ref="E247:G247"/>
    <mergeCell ref="A248:D248"/>
    <mergeCell ref="E248:G248"/>
    <mergeCell ref="A249:D249"/>
    <mergeCell ref="E249:G249"/>
    <mergeCell ref="A256:D256"/>
    <mergeCell ref="E256:G256"/>
    <mergeCell ref="A257:D257"/>
    <mergeCell ref="E257:G257"/>
    <mergeCell ref="A258:D258"/>
    <mergeCell ref="E258:G258"/>
    <mergeCell ref="A253:D253"/>
    <mergeCell ref="E253:G253"/>
    <mergeCell ref="A254:D254"/>
    <mergeCell ref="E254:G254"/>
    <mergeCell ref="A255:D255"/>
    <mergeCell ref="E255:G255"/>
    <mergeCell ref="A268:D268"/>
    <mergeCell ref="E268:G268"/>
    <mergeCell ref="A269:D269"/>
    <mergeCell ref="E269:G269"/>
    <mergeCell ref="A270:D270"/>
    <mergeCell ref="E270:G270"/>
    <mergeCell ref="A265:D265"/>
    <mergeCell ref="E265:G265"/>
    <mergeCell ref="A266:D266"/>
    <mergeCell ref="E266:G266"/>
    <mergeCell ref="A267:D267"/>
    <mergeCell ref="E267:G267"/>
    <mergeCell ref="A262:D262"/>
    <mergeCell ref="E262:G262"/>
    <mergeCell ref="A263:D263"/>
    <mergeCell ref="E263:G263"/>
    <mergeCell ref="A264:D264"/>
    <mergeCell ref="E264:G264"/>
    <mergeCell ref="A259:D259"/>
    <mergeCell ref="E259:G259"/>
    <mergeCell ref="A260:D260"/>
    <mergeCell ref="E260:G260"/>
    <mergeCell ref="A261:D261"/>
    <mergeCell ref="E261:G261"/>
  </mergeCells>
  <phoneticPr fontId="10" type="noConversion"/>
  <pageMargins left="0.7" right="0.7" top="0.75" bottom="0.75" header="0.3" footer="0.3"/>
  <ignoredErrors>
    <ignoredError sqref="H7:I50" formulaRange="1"/>
  </ignoredError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D18B-FED9-4440-BA02-463ED46B6ABE}">
  <dimension ref="A1:I40"/>
  <sheetViews>
    <sheetView topLeftCell="A8" zoomScale="118" workbookViewId="0">
      <selection activeCell="K36" sqref="K36"/>
    </sheetView>
  </sheetViews>
  <sheetFormatPr defaultRowHeight="15"/>
  <sheetData>
    <row r="1" spans="1:1">
      <c r="A1" s="5" t="s">
        <v>726</v>
      </c>
    </row>
    <row r="2" spans="1:1">
      <c r="A2" s="5" t="s">
        <v>725</v>
      </c>
    </row>
    <row r="4" spans="1:1">
      <c r="A4" s="5" t="s">
        <v>727</v>
      </c>
    </row>
    <row r="39" spans="1:9">
      <c r="A39" s="5" t="s">
        <v>728</v>
      </c>
      <c r="B39" s="155" t="s">
        <v>729</v>
      </c>
      <c r="C39" s="155"/>
      <c r="D39" s="155"/>
      <c r="E39" s="155"/>
      <c r="F39" s="155"/>
      <c r="G39" s="155"/>
      <c r="H39" s="155"/>
      <c r="I39" s="155"/>
    </row>
    <row r="40" spans="1:9">
      <c r="B40" s="155"/>
      <c r="C40" s="155"/>
      <c r="D40" s="155"/>
      <c r="E40" s="155"/>
      <c r="F40" s="155"/>
      <c r="G40" s="155"/>
      <c r="H40" s="155"/>
      <c r="I40" s="155"/>
    </row>
  </sheetData>
  <mergeCells count="1">
    <mergeCell ref="B39:I4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FCA67-11CB-4E35-AB10-56B44101BE19}">
  <dimension ref="A1:K35"/>
  <sheetViews>
    <sheetView topLeftCell="A10" zoomScale="79" workbookViewId="0">
      <selection activeCell="B33" sqref="B33"/>
    </sheetView>
  </sheetViews>
  <sheetFormatPr defaultRowHeight="15"/>
  <cols>
    <col min="1" max="6" width="17.140625" customWidth="1"/>
    <col min="7" max="10" width="18.85546875" customWidth="1"/>
    <col min="11" max="11" width="24.42578125" customWidth="1"/>
  </cols>
  <sheetData>
    <row r="1" spans="1:11">
      <c r="A1" s="5" t="s">
        <v>726</v>
      </c>
    </row>
    <row r="2" spans="1:11">
      <c r="A2" s="5" t="s">
        <v>765</v>
      </c>
    </row>
    <row r="3" spans="1:11">
      <c r="A3" s="5"/>
    </row>
    <row r="4" spans="1:11">
      <c r="A4" s="100" t="s">
        <v>730</v>
      </c>
      <c r="B4" s="98"/>
      <c r="C4" s="98"/>
      <c r="D4" s="98"/>
      <c r="E4" s="98"/>
      <c r="F4" s="98"/>
    </row>
    <row r="5" spans="1:11">
      <c r="A5" s="98"/>
      <c r="B5" s="98"/>
      <c r="C5" s="98"/>
      <c r="D5" s="98"/>
      <c r="E5" s="98"/>
      <c r="F5" s="98"/>
    </row>
    <row r="6" spans="1:11">
      <c r="A6" s="101" t="s">
        <v>731</v>
      </c>
      <c r="B6" s="101" t="s">
        <v>732</v>
      </c>
      <c r="C6" s="101" t="s">
        <v>733</v>
      </c>
      <c r="D6" s="101" t="s">
        <v>734</v>
      </c>
      <c r="E6" s="101" t="s">
        <v>735</v>
      </c>
      <c r="F6" s="101" t="s">
        <v>736</v>
      </c>
      <c r="G6" s="101" t="s">
        <v>759</v>
      </c>
      <c r="H6" s="101" t="s">
        <v>760</v>
      </c>
      <c r="I6" s="101" t="s">
        <v>761</v>
      </c>
      <c r="J6" s="101" t="s">
        <v>762</v>
      </c>
      <c r="K6" s="101" t="s">
        <v>763</v>
      </c>
    </row>
    <row r="7" spans="1:11">
      <c r="A7" s="99" t="s">
        <v>737</v>
      </c>
      <c r="B7" s="99">
        <v>68.44</v>
      </c>
      <c r="C7" s="99">
        <v>24.7</v>
      </c>
      <c r="D7" s="99">
        <v>26.4</v>
      </c>
      <c r="E7" s="99">
        <v>11.8</v>
      </c>
      <c r="F7" s="99">
        <v>16.100000000000001</v>
      </c>
      <c r="G7">
        <f>STANDARDIZE(B7,B$28,B$29)</f>
        <v>0.18409601698484687</v>
      </c>
      <c r="H7">
        <f>STANDARDIZE(C7,C$28,C$29)</f>
        <v>-4.671322911941924E-2</v>
      </c>
      <c r="I7">
        <f t="shared" ref="I7:K7" si="0">STANDARDIZE(D7,D$28,D$29)</f>
        <v>4.0090348014055928E-2</v>
      </c>
      <c r="J7">
        <f t="shared" si="0"/>
        <v>0.24161208774300941</v>
      </c>
      <c r="K7">
        <f t="shared" si="0"/>
        <v>6.1682251372142213E-2</v>
      </c>
    </row>
    <row r="8" spans="1:11">
      <c r="A8" s="99" t="s">
        <v>738</v>
      </c>
      <c r="B8" s="99">
        <v>7.58</v>
      </c>
      <c r="C8" s="99">
        <v>82.5</v>
      </c>
      <c r="D8" s="99">
        <v>12.9</v>
      </c>
      <c r="E8" s="99">
        <v>5.5</v>
      </c>
      <c r="F8" s="99">
        <v>5.5</v>
      </c>
      <c r="G8">
        <f t="shared" ref="G8:G27" si="1">STANDARDIZE(B8,B$28,B$29)</f>
        <v>-0.85441808730387658</v>
      </c>
      <c r="H8">
        <f t="shared" ref="H8:H27" si="2">STANDARDIZE(C8,C$28,C$29)</f>
        <v>3.4970691149525024</v>
      </c>
      <c r="I8">
        <f t="shared" ref="I8:I27" si="3">STANDARDIZE(D8,D$28,D$29)</f>
        <v>-0.85483986159105652</v>
      </c>
      <c r="J8">
        <f t="shared" ref="J8:J27" si="4">STANDARDIZE(E8,E$28,E$29)</f>
        <v>-0.94228714219773613</v>
      </c>
      <c r="K8">
        <f t="shared" ref="K8:K27" si="5">STANDARDIZE(F8,F$28,F$29)</f>
        <v>-1.5536670610324421</v>
      </c>
    </row>
    <row r="9" spans="1:11">
      <c r="A9" s="99" t="s">
        <v>739</v>
      </c>
      <c r="B9" s="99">
        <v>6.3</v>
      </c>
      <c r="C9" s="99">
        <v>20.7</v>
      </c>
      <c r="D9" s="99">
        <v>14.9</v>
      </c>
      <c r="E9" s="99">
        <v>7.8</v>
      </c>
      <c r="F9" s="99">
        <v>11.2</v>
      </c>
      <c r="G9">
        <f t="shared" si="1"/>
        <v>-0.87625998762411272</v>
      </c>
      <c r="H9">
        <f t="shared" si="2"/>
        <v>-0.29195768199636885</v>
      </c>
      <c r="I9">
        <f t="shared" si="3"/>
        <v>-0.72225760831622499</v>
      </c>
      <c r="J9">
        <f t="shared" si="4"/>
        <v>-0.51006996301301954</v>
      </c>
      <c r="K9">
        <f t="shared" si="5"/>
        <v>-0.68503582700356214</v>
      </c>
    </row>
    <row r="10" spans="1:11">
      <c r="A10" s="99" t="s">
        <v>740</v>
      </c>
      <c r="B10" s="99">
        <v>67.63</v>
      </c>
      <c r="C10" s="99">
        <v>21.5</v>
      </c>
      <c r="D10" s="99">
        <v>27.4</v>
      </c>
      <c r="E10" s="99">
        <v>15.4</v>
      </c>
      <c r="F10" s="99">
        <v>18</v>
      </c>
      <c r="G10">
        <f t="shared" si="1"/>
        <v>0.17027418943844744</v>
      </c>
      <c r="H10">
        <f t="shared" si="2"/>
        <v>-0.24290879142097885</v>
      </c>
      <c r="I10">
        <f t="shared" si="3"/>
        <v>0.10638147465147167</v>
      </c>
      <c r="J10">
        <f t="shared" si="4"/>
        <v>0.91812593342343529</v>
      </c>
      <c r="K10">
        <f t="shared" si="5"/>
        <v>0.35122599604843535</v>
      </c>
    </row>
    <row r="11" spans="1:11">
      <c r="A11" s="99" t="s">
        <v>741</v>
      </c>
      <c r="B11" s="99">
        <v>47.16</v>
      </c>
      <c r="C11" s="99">
        <v>20.100000000000001</v>
      </c>
      <c r="D11" s="99">
        <v>21.8</v>
      </c>
      <c r="E11" s="99">
        <v>7.5</v>
      </c>
      <c r="F11" s="99">
        <v>12.9</v>
      </c>
      <c r="G11">
        <f t="shared" si="1"/>
        <v>-0.17902557583907749</v>
      </c>
      <c r="H11">
        <f t="shared" si="2"/>
        <v>-0.32874434992791113</v>
      </c>
      <c r="I11">
        <f t="shared" si="3"/>
        <v>-0.26484883451805635</v>
      </c>
      <c r="J11">
        <f t="shared" si="4"/>
        <v>-0.56644611681972168</v>
      </c>
      <c r="K11">
        <f t="shared" si="5"/>
        <v>-0.42597037124056258</v>
      </c>
    </row>
    <row r="12" spans="1:11">
      <c r="A12" s="99" t="s">
        <v>742</v>
      </c>
      <c r="B12" s="99">
        <v>16.899999999999999</v>
      </c>
      <c r="C12" s="99">
        <v>27.9</v>
      </c>
      <c r="D12" s="99">
        <v>3.9</v>
      </c>
      <c r="E12" s="99">
        <v>1.4</v>
      </c>
      <c r="F12" s="99">
        <v>2.6</v>
      </c>
      <c r="G12">
        <f t="shared" si="1"/>
        <v>-0.6953817505971579</v>
      </c>
      <c r="H12">
        <f t="shared" si="2"/>
        <v>0.14948233318214038</v>
      </c>
      <c r="I12">
        <f t="shared" si="3"/>
        <v>-1.4514600013277983</v>
      </c>
      <c r="J12">
        <f t="shared" si="4"/>
        <v>-1.7127612442226656</v>
      </c>
      <c r="K12">
        <f t="shared" si="5"/>
        <v>-1.9956022502752058</v>
      </c>
    </row>
    <row r="13" spans="1:11">
      <c r="A13" s="99" t="s">
        <v>743</v>
      </c>
      <c r="B13" s="99">
        <v>51.33</v>
      </c>
      <c r="C13" s="99">
        <v>13.9</v>
      </c>
      <c r="D13" s="99">
        <v>34.799999999999997</v>
      </c>
      <c r="E13" s="99">
        <v>15.1</v>
      </c>
      <c r="F13" s="99">
        <v>20.6</v>
      </c>
      <c r="G13">
        <f t="shared" si="1"/>
        <v>-0.10786875995205847</v>
      </c>
      <c r="H13">
        <f t="shared" si="2"/>
        <v>-0.70887325188718309</v>
      </c>
      <c r="I13">
        <f t="shared" si="3"/>
        <v>0.59693581176834809</v>
      </c>
      <c r="J13">
        <f t="shared" si="4"/>
        <v>0.86174977961673305</v>
      </c>
      <c r="K13">
        <f t="shared" si="5"/>
        <v>0.74744375192125811</v>
      </c>
    </row>
    <row r="14" spans="1:11">
      <c r="A14" s="99" t="s">
        <v>744</v>
      </c>
      <c r="B14" s="99">
        <v>0.41</v>
      </c>
      <c r="C14" s="99">
        <v>26</v>
      </c>
      <c r="D14" s="99">
        <v>24.1</v>
      </c>
      <c r="E14" s="99">
        <v>4.3</v>
      </c>
      <c r="F14" s="99">
        <v>7.5</v>
      </c>
      <c r="G14">
        <f t="shared" si="1"/>
        <v>-0.97676685706644895</v>
      </c>
      <c r="H14">
        <f t="shared" si="2"/>
        <v>3.2991218065589419E-2</v>
      </c>
      <c r="I14">
        <f t="shared" si="3"/>
        <v>-0.11237924325200009</v>
      </c>
      <c r="J14">
        <f t="shared" si="4"/>
        <v>-1.1677917574245449</v>
      </c>
      <c r="K14">
        <f t="shared" si="5"/>
        <v>-1.2488841718995016</v>
      </c>
    </row>
    <row r="15" spans="1:11">
      <c r="A15" s="99" t="s">
        <v>745</v>
      </c>
      <c r="B15" s="99">
        <v>0.78</v>
      </c>
      <c r="C15" s="99">
        <v>3.6</v>
      </c>
      <c r="D15" s="99">
        <v>15.1</v>
      </c>
      <c r="E15" s="99">
        <v>5.0999999999999996</v>
      </c>
      <c r="F15" s="99">
        <v>13.3</v>
      </c>
      <c r="G15">
        <f t="shared" si="1"/>
        <v>-0.97045318275513059</v>
      </c>
      <c r="H15">
        <f t="shared" si="2"/>
        <v>-1.3403777180453282</v>
      </c>
      <c r="I15">
        <f t="shared" si="3"/>
        <v>-0.70899938298874188</v>
      </c>
      <c r="J15">
        <f t="shared" si="4"/>
        <v>-1.017455347273339</v>
      </c>
      <c r="K15">
        <f t="shared" si="5"/>
        <v>-0.36501379341397444</v>
      </c>
    </row>
    <row r="16" spans="1:11">
      <c r="A16" s="99" t="s">
        <v>746</v>
      </c>
      <c r="B16" s="99">
        <v>73.84</v>
      </c>
      <c r="C16" s="99">
        <v>27.9</v>
      </c>
      <c r="D16" s="99">
        <v>31</v>
      </c>
      <c r="E16" s="99">
        <v>13.5</v>
      </c>
      <c r="F16" s="99">
        <v>23.4</v>
      </c>
      <c r="G16">
        <f t="shared" si="1"/>
        <v>0.27624153396084278</v>
      </c>
      <c r="H16">
        <f t="shared" si="2"/>
        <v>0.14948233318214038</v>
      </c>
      <c r="I16">
        <f t="shared" si="3"/>
        <v>0.34502953054616847</v>
      </c>
      <c r="J16">
        <f t="shared" si="4"/>
        <v>0.56107695931432156</v>
      </c>
      <c r="K16">
        <f t="shared" si="5"/>
        <v>1.1741397967073743</v>
      </c>
    </row>
    <row r="17" spans="1:11">
      <c r="A17" s="99" t="s">
        <v>747</v>
      </c>
      <c r="B17" s="99">
        <v>122.11</v>
      </c>
      <c r="C17" s="99">
        <v>18</v>
      </c>
      <c r="D17" s="99">
        <v>62.9</v>
      </c>
      <c r="E17" s="99">
        <v>20.3</v>
      </c>
      <c r="F17" s="99">
        <v>21.1</v>
      </c>
      <c r="G17">
        <f t="shared" si="1"/>
        <v>1.0999200718184945</v>
      </c>
      <c r="H17">
        <f t="shared" si="2"/>
        <v>-0.45749768768830973</v>
      </c>
      <c r="I17">
        <f t="shared" si="3"/>
        <v>2.4597164702797305</v>
      </c>
      <c r="J17">
        <f t="shared" si="4"/>
        <v>1.8389364455995707</v>
      </c>
      <c r="K17">
        <f t="shared" si="5"/>
        <v>0.82363947420449324</v>
      </c>
    </row>
    <row r="18" spans="1:11">
      <c r="A18" s="99" t="s">
        <v>748</v>
      </c>
      <c r="B18" s="99">
        <v>2.6</v>
      </c>
      <c r="C18" s="99">
        <v>19.899999999999999</v>
      </c>
      <c r="D18" s="99">
        <v>21.4</v>
      </c>
      <c r="E18" s="99">
        <v>6.8</v>
      </c>
      <c r="F18" s="99">
        <v>11</v>
      </c>
      <c r="G18">
        <f t="shared" si="1"/>
        <v>-0.9393967307372949</v>
      </c>
      <c r="H18">
        <f t="shared" si="2"/>
        <v>-0.34100657257175876</v>
      </c>
      <c r="I18">
        <f t="shared" si="3"/>
        <v>-0.29136528517302279</v>
      </c>
      <c r="J18">
        <f t="shared" si="4"/>
        <v>-0.69799047570202677</v>
      </c>
      <c r="K18">
        <f t="shared" si="5"/>
        <v>-0.71551411591685599</v>
      </c>
    </row>
    <row r="19" spans="1:11">
      <c r="A19" s="99" t="s">
        <v>749</v>
      </c>
      <c r="B19" s="99">
        <v>173.93</v>
      </c>
      <c r="C19" s="99">
        <v>28.4</v>
      </c>
      <c r="D19" s="99">
        <v>28.6</v>
      </c>
      <c r="E19" s="99">
        <v>16.3</v>
      </c>
      <c r="F19" s="99">
        <v>17.899999999999999</v>
      </c>
      <c r="G19">
        <f t="shared" si="1"/>
        <v>1.9841757550955508</v>
      </c>
      <c r="H19">
        <f t="shared" si="2"/>
        <v>0.18013788979175907</v>
      </c>
      <c r="I19">
        <f t="shared" si="3"/>
        <v>0.18593082661637075</v>
      </c>
      <c r="J19">
        <f t="shared" si="4"/>
        <v>1.0872543948435418</v>
      </c>
      <c r="K19">
        <f t="shared" si="5"/>
        <v>0.33598685159178815</v>
      </c>
    </row>
    <row r="20" spans="1:11">
      <c r="A20" s="99" t="s">
        <v>750</v>
      </c>
      <c r="B20" s="99">
        <v>1.2</v>
      </c>
      <c r="C20" s="99">
        <v>28.6</v>
      </c>
      <c r="D20" s="99">
        <v>11.2</v>
      </c>
      <c r="E20" s="99">
        <v>5.4</v>
      </c>
      <c r="F20" s="99">
        <v>21.3</v>
      </c>
      <c r="G20">
        <f t="shared" si="1"/>
        <v>-0.96328630921255309</v>
      </c>
      <c r="H20">
        <f t="shared" si="2"/>
        <v>0.19240011243560673</v>
      </c>
      <c r="I20">
        <f t="shared" si="3"/>
        <v>-0.96753477687466338</v>
      </c>
      <c r="J20">
        <f t="shared" si="4"/>
        <v>-0.96107919346663673</v>
      </c>
      <c r="K20">
        <f t="shared" si="5"/>
        <v>0.85411776311778709</v>
      </c>
    </row>
    <row r="21" spans="1:11">
      <c r="A21" s="99" t="s">
        <v>751</v>
      </c>
      <c r="B21" s="99">
        <v>132.56</v>
      </c>
      <c r="C21" s="99">
        <v>18.899999999999999</v>
      </c>
      <c r="D21" s="99">
        <v>40.6</v>
      </c>
      <c r="E21" s="99">
        <v>15</v>
      </c>
      <c r="F21" s="99">
        <v>14.1</v>
      </c>
      <c r="G21">
        <f t="shared" si="1"/>
        <v>1.2782387111516715</v>
      </c>
      <c r="H21">
        <f t="shared" si="2"/>
        <v>-0.40231768579099619</v>
      </c>
      <c r="I21">
        <f t="shared" si="3"/>
        <v>0.98142434626535968</v>
      </c>
      <c r="J21">
        <f t="shared" si="4"/>
        <v>0.84295772834783234</v>
      </c>
      <c r="K21">
        <f t="shared" si="5"/>
        <v>-0.24310063776079846</v>
      </c>
    </row>
    <row r="22" spans="1:11">
      <c r="A22" s="99" t="s">
        <v>752</v>
      </c>
      <c r="B22" s="99">
        <v>96.65</v>
      </c>
      <c r="C22" s="99">
        <v>21.6</v>
      </c>
      <c r="D22" s="99">
        <v>17.899999999999999</v>
      </c>
      <c r="E22" s="99">
        <v>11.2</v>
      </c>
      <c r="F22" s="99">
        <v>22.4</v>
      </c>
      <c r="G22">
        <f t="shared" si="1"/>
        <v>0.66547102326129937</v>
      </c>
      <c r="H22">
        <f t="shared" si="2"/>
        <v>-0.23677768009905503</v>
      </c>
      <c r="I22">
        <f t="shared" si="3"/>
        <v>-0.52338422840397791</v>
      </c>
      <c r="J22">
        <f t="shared" si="4"/>
        <v>0.12885978012960481</v>
      </c>
      <c r="K22">
        <f t="shared" si="5"/>
        <v>1.0217483521409041</v>
      </c>
    </row>
    <row r="23" spans="1:11">
      <c r="A23" s="99" t="s">
        <v>753</v>
      </c>
      <c r="B23" s="99">
        <v>199.47</v>
      </c>
      <c r="C23" s="99">
        <v>23.6</v>
      </c>
      <c r="D23" s="99">
        <v>45.6</v>
      </c>
      <c r="E23" s="99">
        <v>19.2</v>
      </c>
      <c r="F23" s="99">
        <v>25.2</v>
      </c>
      <c r="G23">
        <f t="shared" si="1"/>
        <v>2.4199899224227606</v>
      </c>
      <c r="H23">
        <f t="shared" si="2"/>
        <v>-0.11415545366058025</v>
      </c>
      <c r="I23">
        <f t="shared" si="3"/>
        <v>1.3128799794524384</v>
      </c>
      <c r="J23">
        <f t="shared" si="4"/>
        <v>1.6322238816416625</v>
      </c>
      <c r="K23">
        <f t="shared" si="5"/>
        <v>1.4484443969270206</v>
      </c>
    </row>
    <row r="24" spans="1:11">
      <c r="A24" s="99" t="s">
        <v>754</v>
      </c>
      <c r="B24" s="99">
        <v>56.24</v>
      </c>
      <c r="C24" s="99">
        <v>56.5</v>
      </c>
      <c r="D24" s="99">
        <v>13.5</v>
      </c>
      <c r="E24" s="99">
        <v>5.7</v>
      </c>
      <c r="F24" s="99">
        <v>7.3</v>
      </c>
      <c r="G24">
        <f t="shared" si="1"/>
        <v>-2.4084595442402927E-2</v>
      </c>
      <c r="H24">
        <f t="shared" si="2"/>
        <v>1.90298017125233</v>
      </c>
      <c r="I24">
        <f t="shared" si="3"/>
        <v>-0.81506518560860708</v>
      </c>
      <c r="J24">
        <f t="shared" si="4"/>
        <v>-0.9047030396599347</v>
      </c>
      <c r="K24">
        <f t="shared" si="5"/>
        <v>-1.2793624608127956</v>
      </c>
    </row>
    <row r="25" spans="1:11">
      <c r="A25" s="99" t="s">
        <v>755</v>
      </c>
      <c r="B25" s="99">
        <v>34.1</v>
      </c>
      <c r="C25" s="99">
        <v>18.899999999999999</v>
      </c>
      <c r="D25" s="99">
        <v>22.6</v>
      </c>
      <c r="E25" s="99">
        <v>13.3</v>
      </c>
      <c r="F25" s="99">
        <v>17.600000000000001</v>
      </c>
      <c r="G25">
        <f t="shared" si="1"/>
        <v>-0.40188121504398588</v>
      </c>
      <c r="H25">
        <f t="shared" si="2"/>
        <v>-0.40231768579099619</v>
      </c>
      <c r="I25">
        <f t="shared" si="3"/>
        <v>-0.21181593320812372</v>
      </c>
      <c r="J25">
        <f t="shared" si="4"/>
        <v>0.52349285677652024</v>
      </c>
      <c r="K25">
        <f t="shared" si="5"/>
        <v>0.29026941822184749</v>
      </c>
    </row>
    <row r="26" spans="1:11">
      <c r="A26" s="99" t="s">
        <v>756</v>
      </c>
      <c r="B26" s="99">
        <v>3.26</v>
      </c>
      <c r="C26" s="99">
        <v>18.399999999999999</v>
      </c>
      <c r="D26" s="99">
        <v>10.199999999999999</v>
      </c>
      <c r="E26" s="99">
        <v>6.8</v>
      </c>
      <c r="F26" s="99">
        <v>15.1</v>
      </c>
      <c r="G26">
        <f t="shared" si="1"/>
        <v>-0.92813450088467331</v>
      </c>
      <c r="H26">
        <f t="shared" si="2"/>
        <v>-0.43297324240061486</v>
      </c>
      <c r="I26">
        <f t="shared" si="3"/>
        <v>-1.0338259035120791</v>
      </c>
      <c r="J26">
        <f t="shared" si="4"/>
        <v>-0.69799047570202677</v>
      </c>
      <c r="K26">
        <f t="shared" si="5"/>
        <v>-9.0709193194328255E-2</v>
      </c>
    </row>
    <row r="27" spans="1:11">
      <c r="A27" s="99" t="s">
        <v>757</v>
      </c>
      <c r="B27" s="99">
        <v>48.19</v>
      </c>
      <c r="C27" s="99">
        <v>13.1</v>
      </c>
      <c r="D27" s="99">
        <v>54.9</v>
      </c>
      <c r="E27" s="99">
        <v>13.4</v>
      </c>
      <c r="F27" s="99">
        <v>25.5</v>
      </c>
      <c r="G27">
        <f t="shared" si="1"/>
        <v>-0.16144967167513755</v>
      </c>
      <c r="H27">
        <f t="shared" si="2"/>
        <v>-0.75792214246257306</v>
      </c>
      <c r="I27">
        <f t="shared" si="3"/>
        <v>1.9293874571804046</v>
      </c>
      <c r="J27">
        <f t="shared" si="4"/>
        <v>0.54228490804542084</v>
      </c>
      <c r="K27">
        <f t="shared" si="5"/>
        <v>1.4941618302969619</v>
      </c>
    </row>
    <row r="28" spans="1:11">
      <c r="A28" s="98" t="s">
        <v>80</v>
      </c>
      <c r="B28" s="98">
        <f>AVERAGE(B7:B27)</f>
        <v>57.651428571428561</v>
      </c>
      <c r="C28" s="98">
        <f t="shared" ref="C28:F28" si="6">AVERAGE(C7:C27)</f>
        <v>25.461904761904766</v>
      </c>
      <c r="D28" s="98">
        <f t="shared" si="6"/>
        <v>25.795238095238098</v>
      </c>
      <c r="E28" s="98">
        <f t="shared" si="6"/>
        <v>10.514285714285714</v>
      </c>
      <c r="F28" s="98">
        <f t="shared" si="6"/>
        <v>15.6952380952381</v>
      </c>
    </row>
    <row r="29" spans="1:11">
      <c r="A29" s="98" t="s">
        <v>758</v>
      </c>
      <c r="B29" s="98">
        <f>_xlfn.STDEV.S(B7:B27)</f>
        <v>58.602959505959632</v>
      </c>
      <c r="C29" s="98">
        <f>_xlfn.STDEV.S(C7:C27)</f>
        <v>16.310256778802593</v>
      </c>
      <c r="D29" s="98">
        <f t="shared" ref="D29:F29" si="7">_xlfn.STDEV.S(D7:D27)</f>
        <v>15.084975180306929</v>
      </c>
      <c r="E29" s="98">
        <f t="shared" si="7"/>
        <v>5.3213988493896709</v>
      </c>
      <c r="F29" s="98">
        <f t="shared" si="7"/>
        <v>6.5620481703867526</v>
      </c>
    </row>
    <row r="30" spans="1:11" ht="15.75" thickBot="1">
      <c r="B30" s="98"/>
      <c r="C30" s="98"/>
      <c r="D30" s="98"/>
      <c r="E30" s="98"/>
      <c r="F30" s="98"/>
    </row>
    <row r="31" spans="1:11" ht="15.75" thickBot="1">
      <c r="A31" s="114" t="s">
        <v>764</v>
      </c>
      <c r="B31" s="115" t="s">
        <v>737</v>
      </c>
      <c r="C31" s="116" t="s">
        <v>744</v>
      </c>
      <c r="D31" s="117" t="s">
        <v>750</v>
      </c>
      <c r="F31" s="98"/>
    </row>
    <row r="32" spans="1:11">
      <c r="A32" s="110" t="s">
        <v>737</v>
      </c>
      <c r="B32" s="111">
        <v>0</v>
      </c>
      <c r="C32" s="112"/>
      <c r="D32" s="113"/>
      <c r="F32" s="98"/>
    </row>
    <row r="33" spans="1:6">
      <c r="A33" s="108" t="s">
        <v>744</v>
      </c>
      <c r="B33" s="106">
        <f>SQRT(SUMXMY2(G7:K7,G14:K14))</f>
        <v>2.2541530418524509</v>
      </c>
      <c r="C33" s="102">
        <v>0</v>
      </c>
      <c r="D33" s="103"/>
      <c r="F33" s="98"/>
    </row>
    <row r="34" spans="1:6" ht="15.75" thickBot="1">
      <c r="A34" s="109" t="s">
        <v>750</v>
      </c>
      <c r="B34" s="107">
        <f>SQRT(SUMXMY2(G7:K7,G20:K20))</f>
        <v>2.1126736953585747</v>
      </c>
      <c r="C34" s="104">
        <f>SQRT(SUMXMY2(G14:K14,G20:K20))</f>
        <v>2.2852201491857822</v>
      </c>
      <c r="D34" s="105">
        <v>0</v>
      </c>
      <c r="F34" s="98"/>
    </row>
    <row r="35" spans="1:6">
      <c r="A35" s="98"/>
      <c r="B35" s="98"/>
      <c r="C35" s="98"/>
      <c r="D35" s="98"/>
      <c r="E35" s="98"/>
      <c r="F35" s="9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20A6-2CB8-451A-AD88-30AFB5526907}">
  <dimension ref="A1:G86"/>
  <sheetViews>
    <sheetView zoomScale="90" workbookViewId="0">
      <selection activeCell="L85" sqref="L85"/>
    </sheetView>
  </sheetViews>
  <sheetFormatPr defaultRowHeight="15"/>
  <cols>
    <col min="1" max="7" width="15.140625" customWidth="1"/>
  </cols>
  <sheetData>
    <row r="1" spans="1:7">
      <c r="A1" s="5" t="s">
        <v>726</v>
      </c>
    </row>
    <row r="2" spans="1:7">
      <c r="A2" s="5" t="s">
        <v>766</v>
      </c>
    </row>
    <row r="4" spans="1:7">
      <c r="A4" s="119" t="s">
        <v>767</v>
      </c>
      <c r="B4" s="118"/>
      <c r="C4" s="118"/>
      <c r="D4" s="118"/>
      <c r="E4" s="118"/>
      <c r="F4" s="118"/>
      <c r="G4" s="118"/>
    </row>
    <row r="6" spans="1:7" ht="15.75" thickBot="1">
      <c r="A6" s="122" t="s">
        <v>768</v>
      </c>
      <c r="B6" s="122" t="s">
        <v>86</v>
      </c>
      <c r="C6" s="122" t="s">
        <v>769</v>
      </c>
      <c r="D6" s="122" t="s">
        <v>770</v>
      </c>
      <c r="E6" s="122" t="s">
        <v>771</v>
      </c>
      <c r="F6" s="122" t="s">
        <v>772</v>
      </c>
      <c r="G6" s="122" t="s">
        <v>773</v>
      </c>
    </row>
    <row r="7" spans="1:7" ht="15.75" thickTop="1">
      <c r="A7" s="118" t="s">
        <v>774</v>
      </c>
      <c r="B7" s="118" t="s">
        <v>775</v>
      </c>
      <c r="C7" s="118">
        <v>1315</v>
      </c>
      <c r="D7" s="121">
        <v>0.22</v>
      </c>
      <c r="E7" s="120">
        <v>26636</v>
      </c>
      <c r="F7" s="118">
        <v>85</v>
      </c>
      <c r="G7" s="118">
        <v>93</v>
      </c>
    </row>
    <row r="8" spans="1:7" hidden="1">
      <c r="A8" s="118" t="s">
        <v>776</v>
      </c>
      <c r="B8" s="118" t="s">
        <v>775</v>
      </c>
      <c r="C8" s="118">
        <v>1220</v>
      </c>
      <c r="D8" s="121">
        <v>0.53</v>
      </c>
      <c r="E8" s="120">
        <v>17653</v>
      </c>
      <c r="F8" s="118">
        <v>69</v>
      </c>
      <c r="G8" s="118">
        <v>80</v>
      </c>
    </row>
    <row r="9" spans="1:7" hidden="1">
      <c r="A9" s="118" t="s">
        <v>777</v>
      </c>
      <c r="B9" s="118" t="s">
        <v>775</v>
      </c>
      <c r="C9" s="118">
        <v>1240</v>
      </c>
      <c r="D9" s="121">
        <v>0.36</v>
      </c>
      <c r="E9" s="120">
        <v>17554</v>
      </c>
      <c r="F9" s="118">
        <v>58</v>
      </c>
      <c r="G9" s="118">
        <v>88</v>
      </c>
    </row>
    <row r="10" spans="1:7" hidden="1">
      <c r="A10" s="118" t="s">
        <v>778</v>
      </c>
      <c r="B10" s="118" t="s">
        <v>779</v>
      </c>
      <c r="C10" s="118">
        <v>1176</v>
      </c>
      <c r="D10" s="121">
        <v>0.37</v>
      </c>
      <c r="E10" s="120">
        <v>23665</v>
      </c>
      <c r="F10" s="118">
        <v>95</v>
      </c>
      <c r="G10" s="118">
        <v>68</v>
      </c>
    </row>
    <row r="11" spans="1:7" hidden="1">
      <c r="A11" s="118" t="s">
        <v>780</v>
      </c>
      <c r="B11" s="118" t="s">
        <v>775</v>
      </c>
      <c r="C11" s="118">
        <v>1300</v>
      </c>
      <c r="D11" s="121">
        <v>0.24</v>
      </c>
      <c r="E11" s="120">
        <v>25703</v>
      </c>
      <c r="F11" s="118">
        <v>78</v>
      </c>
      <c r="G11" s="118">
        <v>90</v>
      </c>
    </row>
    <row r="12" spans="1:7" hidden="1">
      <c r="A12" s="118" t="s">
        <v>781</v>
      </c>
      <c r="B12" s="118" t="s">
        <v>779</v>
      </c>
      <c r="C12" s="118">
        <v>1281</v>
      </c>
      <c r="D12" s="121">
        <v>0.24</v>
      </c>
      <c r="E12" s="120">
        <v>24201</v>
      </c>
      <c r="F12" s="118">
        <v>80</v>
      </c>
      <c r="G12" s="118">
        <v>90</v>
      </c>
    </row>
    <row r="13" spans="1:7" hidden="1">
      <c r="A13" s="118" t="s">
        <v>782</v>
      </c>
      <c r="B13" s="118" t="s">
        <v>775</v>
      </c>
      <c r="C13" s="118">
        <v>1255</v>
      </c>
      <c r="D13" s="121">
        <v>0.56000000000000005</v>
      </c>
      <c r="E13" s="120">
        <v>18847</v>
      </c>
      <c r="F13" s="118">
        <v>70</v>
      </c>
      <c r="G13" s="118">
        <v>84</v>
      </c>
    </row>
    <row r="14" spans="1:7" hidden="1">
      <c r="A14" s="118" t="s">
        <v>783</v>
      </c>
      <c r="B14" s="118" t="s">
        <v>779</v>
      </c>
      <c r="C14" s="118">
        <v>1400</v>
      </c>
      <c r="D14" s="121">
        <v>0.31</v>
      </c>
      <c r="E14" s="120">
        <v>102262</v>
      </c>
      <c r="F14" s="118">
        <v>98</v>
      </c>
      <c r="G14" s="118">
        <v>75</v>
      </c>
    </row>
    <row r="15" spans="1:7" hidden="1">
      <c r="A15" s="118" t="s">
        <v>784</v>
      </c>
      <c r="B15" s="118" t="s">
        <v>775</v>
      </c>
      <c r="C15" s="118">
        <v>1300</v>
      </c>
      <c r="D15" s="121">
        <v>0.4</v>
      </c>
      <c r="E15" s="120">
        <v>15904</v>
      </c>
      <c r="F15" s="118">
        <v>75</v>
      </c>
      <c r="G15" s="118">
        <v>80</v>
      </c>
    </row>
    <row r="16" spans="1:7" hidden="1">
      <c r="A16" s="118" t="s">
        <v>785</v>
      </c>
      <c r="B16" s="118" t="s">
        <v>779</v>
      </c>
      <c r="C16" s="118">
        <v>1225</v>
      </c>
      <c r="D16" s="121">
        <v>0.64</v>
      </c>
      <c r="E16" s="120">
        <v>33607</v>
      </c>
      <c r="F16" s="118">
        <v>52</v>
      </c>
      <c r="G16" s="118">
        <v>77</v>
      </c>
    </row>
    <row r="17" spans="1:7" hidden="1">
      <c r="A17" s="118" t="s">
        <v>786</v>
      </c>
      <c r="B17" s="118" t="s">
        <v>775</v>
      </c>
      <c r="C17" s="118">
        <v>1260</v>
      </c>
      <c r="D17" s="121">
        <v>0.36</v>
      </c>
      <c r="E17" s="120">
        <v>20377</v>
      </c>
      <c r="F17" s="118">
        <v>68</v>
      </c>
      <c r="G17" s="118">
        <v>74</v>
      </c>
    </row>
    <row r="18" spans="1:7" hidden="1">
      <c r="A18" s="118" t="s">
        <v>787</v>
      </c>
      <c r="B18" s="118" t="s">
        <v>775</v>
      </c>
      <c r="C18" s="118">
        <v>1200</v>
      </c>
      <c r="D18" s="121">
        <v>0.46</v>
      </c>
      <c r="E18" s="120">
        <v>18872</v>
      </c>
      <c r="F18" s="118">
        <v>52</v>
      </c>
      <c r="G18" s="118">
        <v>84</v>
      </c>
    </row>
    <row r="19" spans="1:7" hidden="1">
      <c r="A19" s="118" t="s">
        <v>788</v>
      </c>
      <c r="B19" s="118" t="s">
        <v>775</v>
      </c>
      <c r="C19" s="118">
        <v>1258</v>
      </c>
      <c r="D19" s="121">
        <v>0.38</v>
      </c>
      <c r="E19" s="120">
        <v>17520</v>
      </c>
      <c r="F19" s="118">
        <v>61</v>
      </c>
      <c r="G19" s="118">
        <v>85</v>
      </c>
    </row>
    <row r="20" spans="1:7" hidden="1">
      <c r="A20" s="118" t="s">
        <v>789</v>
      </c>
      <c r="B20" s="118" t="s">
        <v>779</v>
      </c>
      <c r="C20" s="118">
        <v>1268</v>
      </c>
      <c r="D20" s="121">
        <v>0.28999999999999998</v>
      </c>
      <c r="E20" s="120">
        <v>45879</v>
      </c>
      <c r="F20" s="118">
        <v>78</v>
      </c>
      <c r="G20" s="118">
        <v>90</v>
      </c>
    </row>
    <row r="21" spans="1:7" hidden="1">
      <c r="A21" s="118" t="s">
        <v>790</v>
      </c>
      <c r="B21" s="118" t="s">
        <v>779</v>
      </c>
      <c r="C21" s="118">
        <v>1280</v>
      </c>
      <c r="D21" s="121">
        <v>0.3</v>
      </c>
      <c r="E21" s="120">
        <v>37137</v>
      </c>
      <c r="F21" s="118">
        <v>85</v>
      </c>
      <c r="G21" s="118">
        <v>83</v>
      </c>
    </row>
    <row r="22" spans="1:7" hidden="1">
      <c r="A22" s="118" t="s">
        <v>791</v>
      </c>
      <c r="B22" s="118" t="s">
        <v>775</v>
      </c>
      <c r="C22" s="118">
        <v>1230</v>
      </c>
      <c r="D22" s="121">
        <v>0.36</v>
      </c>
      <c r="E22" s="120">
        <v>17721</v>
      </c>
      <c r="F22" s="118">
        <v>77</v>
      </c>
      <c r="G22" s="118">
        <v>89</v>
      </c>
    </row>
    <row r="23" spans="1:7" hidden="1">
      <c r="A23" s="118" t="s">
        <v>792</v>
      </c>
      <c r="B23" s="118" t="s">
        <v>779</v>
      </c>
      <c r="C23" s="118">
        <v>1310</v>
      </c>
      <c r="D23" s="121">
        <v>0.25</v>
      </c>
      <c r="E23" s="120">
        <v>39504</v>
      </c>
      <c r="F23" s="118">
        <v>91</v>
      </c>
      <c r="G23" s="118">
        <v>91</v>
      </c>
    </row>
    <row r="24" spans="1:7" hidden="1">
      <c r="A24" s="118" t="s">
        <v>793</v>
      </c>
      <c r="B24" s="118" t="s">
        <v>779</v>
      </c>
      <c r="C24" s="118">
        <v>1278</v>
      </c>
      <c r="D24" s="121">
        <v>0.24</v>
      </c>
      <c r="E24" s="120">
        <v>23115</v>
      </c>
      <c r="F24" s="118">
        <v>79</v>
      </c>
      <c r="G24" s="118">
        <v>89</v>
      </c>
    </row>
    <row r="25" spans="1:7" hidden="1">
      <c r="A25" s="118" t="s">
        <v>794</v>
      </c>
      <c r="B25" s="118" t="s">
        <v>775</v>
      </c>
      <c r="C25" s="118">
        <v>1244</v>
      </c>
      <c r="D25" s="121">
        <v>0.67</v>
      </c>
      <c r="E25" s="120">
        <v>22301</v>
      </c>
      <c r="F25" s="118">
        <v>65</v>
      </c>
      <c r="G25" s="118">
        <v>73</v>
      </c>
    </row>
    <row r="26" spans="1:7" hidden="1">
      <c r="A26" s="118" t="s">
        <v>795</v>
      </c>
      <c r="B26" s="118" t="s">
        <v>775</v>
      </c>
      <c r="C26" s="118">
        <v>1215</v>
      </c>
      <c r="D26" s="121">
        <v>0.38</v>
      </c>
      <c r="E26" s="120">
        <v>20722</v>
      </c>
      <c r="F26" s="118">
        <v>51</v>
      </c>
      <c r="G26" s="118">
        <v>85</v>
      </c>
    </row>
    <row r="27" spans="1:7" hidden="1">
      <c r="A27" s="118" t="s">
        <v>796</v>
      </c>
      <c r="B27" s="118" t="s">
        <v>779</v>
      </c>
      <c r="C27" s="118">
        <v>1370</v>
      </c>
      <c r="D27" s="121">
        <v>0.18</v>
      </c>
      <c r="E27" s="120">
        <v>46918</v>
      </c>
      <c r="F27" s="118">
        <v>90</v>
      </c>
      <c r="G27" s="118">
        <v>90</v>
      </c>
    </row>
    <row r="28" spans="1:7" hidden="1">
      <c r="A28" s="118" t="s">
        <v>797</v>
      </c>
      <c r="B28" s="118" t="s">
        <v>775</v>
      </c>
      <c r="C28" s="118">
        <v>1285</v>
      </c>
      <c r="D28" s="121">
        <v>0.35</v>
      </c>
      <c r="E28" s="120">
        <v>19418</v>
      </c>
      <c r="F28" s="118">
        <v>71</v>
      </c>
      <c r="G28" s="118">
        <v>87</v>
      </c>
    </row>
    <row r="29" spans="1:7" hidden="1">
      <c r="A29" s="118" t="s">
        <v>798</v>
      </c>
      <c r="B29" s="118" t="s">
        <v>779</v>
      </c>
      <c r="C29" s="118">
        <v>1290</v>
      </c>
      <c r="D29" s="121">
        <v>0.48</v>
      </c>
      <c r="E29" s="120">
        <v>45460</v>
      </c>
      <c r="F29" s="118">
        <v>69</v>
      </c>
      <c r="G29" s="118">
        <v>86</v>
      </c>
    </row>
    <row r="30" spans="1:7" hidden="1">
      <c r="A30" s="118" t="s">
        <v>799</v>
      </c>
      <c r="B30" s="118" t="s">
        <v>775</v>
      </c>
      <c r="C30" s="118">
        <v>1255</v>
      </c>
      <c r="D30" s="121">
        <v>0.25</v>
      </c>
      <c r="E30" s="120">
        <v>24718</v>
      </c>
      <c r="F30" s="118">
        <v>65</v>
      </c>
      <c r="G30" s="118">
        <v>92</v>
      </c>
    </row>
    <row r="31" spans="1:7" hidden="1">
      <c r="A31" s="118" t="s">
        <v>800</v>
      </c>
      <c r="B31" s="118" t="s">
        <v>779</v>
      </c>
      <c r="C31" s="118">
        <v>1357</v>
      </c>
      <c r="D31" s="121">
        <v>0.3</v>
      </c>
      <c r="E31" s="120">
        <v>56766</v>
      </c>
      <c r="F31" s="118">
        <v>95</v>
      </c>
      <c r="G31" s="118">
        <v>86</v>
      </c>
    </row>
    <row r="32" spans="1:7" hidden="1">
      <c r="A32" s="118" t="s">
        <v>801</v>
      </c>
      <c r="B32" s="118" t="s">
        <v>775</v>
      </c>
      <c r="C32" s="118">
        <v>1200</v>
      </c>
      <c r="D32" s="121">
        <v>0.61</v>
      </c>
      <c r="E32" s="120">
        <v>23358</v>
      </c>
      <c r="F32" s="118">
        <v>47</v>
      </c>
      <c r="G32" s="118">
        <v>83</v>
      </c>
    </row>
    <row r="33" spans="1:7" hidden="1">
      <c r="A33" s="118" t="s">
        <v>802</v>
      </c>
      <c r="B33" s="118" t="s">
        <v>779</v>
      </c>
      <c r="C33" s="118">
        <v>1230</v>
      </c>
      <c r="D33" s="121">
        <v>0.47</v>
      </c>
      <c r="E33" s="120">
        <v>28851</v>
      </c>
      <c r="F33" s="118">
        <v>77</v>
      </c>
      <c r="G33" s="118">
        <v>82</v>
      </c>
    </row>
    <row r="34" spans="1:7" hidden="1">
      <c r="A34" s="118" t="s">
        <v>803</v>
      </c>
      <c r="B34" s="118" t="s">
        <v>775</v>
      </c>
      <c r="C34" s="118">
        <v>1247</v>
      </c>
      <c r="D34" s="121">
        <v>0.54</v>
      </c>
      <c r="E34" s="120">
        <v>23591</v>
      </c>
      <c r="F34" s="118">
        <v>64</v>
      </c>
      <c r="G34" s="118">
        <v>77</v>
      </c>
    </row>
    <row r="35" spans="1:7" hidden="1">
      <c r="A35" s="118" t="s">
        <v>804</v>
      </c>
      <c r="B35" s="118" t="s">
        <v>775</v>
      </c>
      <c r="C35" s="118">
        <v>1170</v>
      </c>
      <c r="D35" s="121">
        <v>0.49</v>
      </c>
      <c r="E35" s="120">
        <v>20192</v>
      </c>
      <c r="F35" s="118">
        <v>54</v>
      </c>
      <c r="G35" s="118">
        <v>72</v>
      </c>
    </row>
    <row r="36" spans="1:7" hidden="1">
      <c r="A36" s="118" t="s">
        <v>805</v>
      </c>
      <c r="B36" s="118" t="s">
        <v>775</v>
      </c>
      <c r="C36" s="118">
        <v>1320</v>
      </c>
      <c r="D36" s="121">
        <v>0.33</v>
      </c>
      <c r="E36" s="120">
        <v>26668</v>
      </c>
      <c r="F36" s="118">
        <v>79</v>
      </c>
      <c r="G36" s="118">
        <v>80</v>
      </c>
    </row>
    <row r="37" spans="1:7" hidden="1">
      <c r="A37" s="118" t="s">
        <v>806</v>
      </c>
      <c r="B37" s="118" t="s">
        <v>779</v>
      </c>
      <c r="C37" s="118">
        <v>1340</v>
      </c>
      <c r="D37" s="121">
        <v>0.17</v>
      </c>
      <c r="E37" s="120">
        <v>48123</v>
      </c>
      <c r="F37" s="118">
        <v>89</v>
      </c>
      <c r="G37" s="118">
        <v>93</v>
      </c>
    </row>
    <row r="38" spans="1:7" hidden="1">
      <c r="A38" s="118" t="s">
        <v>807</v>
      </c>
      <c r="B38" s="118" t="s">
        <v>779</v>
      </c>
      <c r="C38" s="118">
        <v>1327</v>
      </c>
      <c r="D38" s="121">
        <v>0.24</v>
      </c>
      <c r="E38" s="120">
        <v>26730</v>
      </c>
      <c r="F38" s="118">
        <v>85</v>
      </c>
      <c r="G38" s="118">
        <v>88</v>
      </c>
    </row>
    <row r="39" spans="1:7" hidden="1">
      <c r="A39" s="118" t="s">
        <v>808</v>
      </c>
      <c r="B39" s="118" t="s">
        <v>775</v>
      </c>
      <c r="C39" s="118">
        <v>1195</v>
      </c>
      <c r="D39" s="121">
        <v>0.56999999999999995</v>
      </c>
      <c r="E39" s="120">
        <v>25271</v>
      </c>
      <c r="F39" s="118">
        <v>65</v>
      </c>
      <c r="G39" s="118">
        <v>87</v>
      </c>
    </row>
    <row r="40" spans="1:7" hidden="1">
      <c r="A40" s="118" t="s">
        <v>809</v>
      </c>
      <c r="B40" s="118" t="s">
        <v>779</v>
      </c>
      <c r="C40" s="118">
        <v>1370</v>
      </c>
      <c r="D40" s="121">
        <v>0.18</v>
      </c>
      <c r="E40" s="120">
        <v>61921</v>
      </c>
      <c r="F40" s="118">
        <v>92</v>
      </c>
      <c r="G40" s="118">
        <v>88</v>
      </c>
    </row>
    <row r="41" spans="1:7" hidden="1">
      <c r="A41" s="118" t="s">
        <v>810</v>
      </c>
      <c r="B41" s="118" t="s">
        <v>775</v>
      </c>
      <c r="C41" s="118">
        <v>1310</v>
      </c>
      <c r="D41" s="121">
        <v>0.24</v>
      </c>
      <c r="E41" s="120">
        <v>27487</v>
      </c>
      <c r="F41" s="118">
        <v>78</v>
      </c>
      <c r="G41" s="118">
        <v>88</v>
      </c>
    </row>
    <row r="42" spans="1:7" hidden="1">
      <c r="A42" s="118" t="s">
        <v>811</v>
      </c>
      <c r="B42" s="118" t="s">
        <v>779</v>
      </c>
      <c r="C42" s="118">
        <v>1195</v>
      </c>
      <c r="D42" s="121">
        <v>0.6</v>
      </c>
      <c r="E42" s="120">
        <v>21853</v>
      </c>
      <c r="F42" s="118">
        <v>71</v>
      </c>
      <c r="G42" s="118">
        <v>77</v>
      </c>
    </row>
    <row r="43" spans="1:7" hidden="1">
      <c r="A43" s="118" t="s">
        <v>812</v>
      </c>
      <c r="B43" s="118" t="s">
        <v>779</v>
      </c>
      <c r="C43" s="118">
        <v>1300</v>
      </c>
      <c r="D43" s="121">
        <v>0.45</v>
      </c>
      <c r="E43" s="120">
        <v>38937</v>
      </c>
      <c r="F43" s="118">
        <v>74</v>
      </c>
      <c r="G43" s="118">
        <v>73</v>
      </c>
    </row>
    <row r="44" spans="1:7" hidden="1">
      <c r="A44" s="118" t="s">
        <v>813</v>
      </c>
      <c r="B44" s="118" t="s">
        <v>779</v>
      </c>
      <c r="C44" s="118">
        <v>1155</v>
      </c>
      <c r="D44" s="121">
        <v>0.56000000000000005</v>
      </c>
      <c r="E44" s="120">
        <v>38597</v>
      </c>
      <c r="F44" s="118">
        <v>52</v>
      </c>
      <c r="G44" s="118">
        <v>73</v>
      </c>
    </row>
    <row r="45" spans="1:7" hidden="1">
      <c r="A45" s="118" t="s">
        <v>814</v>
      </c>
      <c r="B45" s="118" t="s">
        <v>779</v>
      </c>
      <c r="C45" s="118">
        <v>1280</v>
      </c>
      <c r="D45" s="121">
        <v>0.41</v>
      </c>
      <c r="E45" s="120">
        <v>30882</v>
      </c>
      <c r="F45" s="118">
        <v>87</v>
      </c>
      <c r="G45" s="118">
        <v>86</v>
      </c>
    </row>
    <row r="46" spans="1:7" hidden="1">
      <c r="A46" s="118" t="s">
        <v>815</v>
      </c>
      <c r="B46" s="118" t="s">
        <v>779</v>
      </c>
      <c r="C46" s="118">
        <v>1218</v>
      </c>
      <c r="D46" s="121">
        <v>0.37</v>
      </c>
      <c r="E46" s="120">
        <v>19365</v>
      </c>
      <c r="F46" s="118">
        <v>77</v>
      </c>
      <c r="G46" s="118">
        <v>88</v>
      </c>
    </row>
    <row r="47" spans="1:7" hidden="1">
      <c r="A47" s="118" t="s">
        <v>816</v>
      </c>
      <c r="B47" s="118" t="s">
        <v>779</v>
      </c>
      <c r="C47" s="118">
        <v>1142</v>
      </c>
      <c r="D47" s="121">
        <v>0.43</v>
      </c>
      <c r="E47" s="120">
        <v>26859</v>
      </c>
      <c r="F47" s="118">
        <v>96</v>
      </c>
      <c r="G47" s="118">
        <v>61</v>
      </c>
    </row>
    <row r="48" spans="1:7" hidden="1">
      <c r="A48" s="118" t="s">
        <v>817</v>
      </c>
      <c r="B48" s="118" t="s">
        <v>779</v>
      </c>
      <c r="C48" s="118">
        <v>1109</v>
      </c>
      <c r="D48" s="121">
        <v>0.32</v>
      </c>
      <c r="E48" s="120">
        <v>19684</v>
      </c>
      <c r="F48" s="118">
        <v>82</v>
      </c>
      <c r="G48" s="118">
        <v>73</v>
      </c>
    </row>
    <row r="49" spans="1:7" hidden="1">
      <c r="A49" s="118" t="s">
        <v>818</v>
      </c>
      <c r="B49" s="118" t="s">
        <v>775</v>
      </c>
      <c r="C49" s="118">
        <v>1287</v>
      </c>
      <c r="D49" s="121">
        <v>0.43</v>
      </c>
      <c r="E49" s="120">
        <v>20179</v>
      </c>
      <c r="F49" s="118">
        <v>53</v>
      </c>
      <c r="G49" s="118">
        <v>84</v>
      </c>
    </row>
    <row r="50" spans="1:7" hidden="1">
      <c r="A50" s="118" t="s">
        <v>819</v>
      </c>
      <c r="B50" s="118" t="s">
        <v>779</v>
      </c>
      <c r="C50" s="118">
        <v>1225</v>
      </c>
      <c r="D50" s="121">
        <v>0.54</v>
      </c>
      <c r="E50" s="120">
        <v>39883</v>
      </c>
      <c r="F50" s="118">
        <v>71</v>
      </c>
      <c r="G50" s="118">
        <v>76</v>
      </c>
    </row>
    <row r="51" spans="1:7" hidden="1">
      <c r="A51" s="118" t="s">
        <v>820</v>
      </c>
      <c r="B51" s="118" t="s">
        <v>775</v>
      </c>
      <c r="C51" s="118">
        <v>1234</v>
      </c>
      <c r="D51" s="121">
        <v>0.28999999999999998</v>
      </c>
      <c r="E51" s="120">
        <v>17998</v>
      </c>
      <c r="F51" s="118">
        <v>61</v>
      </c>
      <c r="G51" s="118">
        <v>78</v>
      </c>
    </row>
    <row r="52" spans="1:7" hidden="1">
      <c r="A52" s="118" t="s">
        <v>821</v>
      </c>
      <c r="B52" s="118" t="s">
        <v>775</v>
      </c>
      <c r="C52" s="118">
        <v>1250</v>
      </c>
      <c r="D52" s="121">
        <v>0.49</v>
      </c>
      <c r="E52" s="120">
        <v>27879</v>
      </c>
      <c r="F52" s="118">
        <v>76</v>
      </c>
      <c r="G52" s="118">
        <v>86</v>
      </c>
    </row>
    <row r="53" spans="1:7" hidden="1">
      <c r="A53" s="118" t="s">
        <v>822</v>
      </c>
      <c r="B53" s="118" t="s">
        <v>775</v>
      </c>
      <c r="C53" s="118">
        <v>1290</v>
      </c>
      <c r="D53" s="121">
        <v>0.35</v>
      </c>
      <c r="E53" s="120">
        <v>19948</v>
      </c>
      <c r="F53" s="118">
        <v>73</v>
      </c>
      <c r="G53" s="118">
        <v>91</v>
      </c>
    </row>
    <row r="54" spans="1:7" hidden="1">
      <c r="A54" s="118" t="s">
        <v>823</v>
      </c>
      <c r="B54" s="118" t="s">
        <v>775</v>
      </c>
      <c r="C54" s="118">
        <v>1336</v>
      </c>
      <c r="D54" s="121">
        <v>0.28000000000000003</v>
      </c>
      <c r="E54" s="120">
        <v>23772</v>
      </c>
      <c r="F54" s="118">
        <v>86</v>
      </c>
      <c r="G54" s="118">
        <v>93</v>
      </c>
    </row>
    <row r="55" spans="1:7">
      <c r="A55" s="118" t="s">
        <v>824</v>
      </c>
      <c r="B55" s="118" t="s">
        <v>779</v>
      </c>
      <c r="C55" s="118">
        <v>1350</v>
      </c>
      <c r="D55" s="121">
        <v>0.19</v>
      </c>
      <c r="E55" s="120">
        <v>52468</v>
      </c>
      <c r="F55" s="118">
        <v>90</v>
      </c>
      <c r="G55" s="118">
        <v>93</v>
      </c>
    </row>
    <row r="57" spans="1:7">
      <c r="A57" s="123" t="s">
        <v>108</v>
      </c>
    </row>
    <row r="58" spans="1:7" ht="15" customHeight="1">
      <c r="A58" s="151" t="s">
        <v>825</v>
      </c>
      <c r="B58" s="151"/>
      <c r="C58" s="151"/>
      <c r="D58" s="151"/>
      <c r="E58" s="151"/>
      <c r="F58" s="151"/>
      <c r="G58" s="151"/>
    </row>
    <row r="59" spans="1:7">
      <c r="A59" s="151"/>
      <c r="B59" s="151"/>
      <c r="C59" s="151"/>
      <c r="D59" s="151"/>
      <c r="E59" s="151"/>
      <c r="F59" s="151"/>
      <c r="G59" s="151"/>
    </row>
    <row r="60" spans="1:7">
      <c r="A60" s="151"/>
      <c r="B60" s="151"/>
      <c r="C60" s="151"/>
      <c r="D60" s="151"/>
      <c r="E60" s="151"/>
      <c r="F60" s="151"/>
      <c r="G60" s="151"/>
    </row>
    <row r="61" spans="1:7">
      <c r="A61" s="151"/>
      <c r="B61" s="151"/>
      <c r="C61" s="151"/>
      <c r="D61" s="151"/>
      <c r="E61" s="151"/>
      <c r="F61" s="151"/>
      <c r="G61" s="151"/>
    </row>
    <row r="62" spans="1:7">
      <c r="A62" s="151"/>
      <c r="B62" s="151"/>
      <c r="C62" s="151"/>
      <c r="D62" s="151"/>
      <c r="E62" s="151"/>
      <c r="F62" s="151"/>
      <c r="G62" s="151"/>
    </row>
    <row r="63" spans="1:7">
      <c r="A63" s="151"/>
      <c r="B63" s="151"/>
      <c r="C63" s="151"/>
      <c r="D63" s="151"/>
      <c r="E63" s="151"/>
      <c r="F63" s="151"/>
      <c r="G63" s="151"/>
    </row>
    <row r="64" spans="1:7">
      <c r="A64" s="151"/>
      <c r="B64" s="151"/>
      <c r="C64" s="151"/>
      <c r="D64" s="151"/>
      <c r="E64" s="151"/>
      <c r="F64" s="151"/>
      <c r="G64" s="151"/>
    </row>
    <row r="65" spans="1:7">
      <c r="A65" s="151"/>
      <c r="B65" s="151"/>
      <c r="C65" s="151"/>
      <c r="D65" s="151"/>
      <c r="E65" s="151"/>
      <c r="F65" s="151"/>
      <c r="G65" s="151"/>
    </row>
    <row r="66" spans="1:7">
      <c r="A66" s="151"/>
      <c r="B66" s="151"/>
      <c r="C66" s="151"/>
      <c r="D66" s="151"/>
      <c r="E66" s="151"/>
      <c r="F66" s="151"/>
      <c r="G66" s="151"/>
    </row>
    <row r="67" spans="1:7">
      <c r="A67" s="32"/>
      <c r="B67" s="32"/>
      <c r="C67" s="32"/>
      <c r="D67" s="32"/>
      <c r="E67" s="32"/>
      <c r="F67" s="32"/>
      <c r="G67" s="32"/>
    </row>
    <row r="68" spans="1:7">
      <c r="A68" s="124" t="s">
        <v>109</v>
      </c>
      <c r="B68" s="32"/>
      <c r="C68" s="32"/>
      <c r="D68" s="32"/>
      <c r="E68" s="32"/>
      <c r="F68" s="32"/>
      <c r="G68" s="32"/>
    </row>
    <row r="69" spans="1:7" ht="15" customHeight="1">
      <c r="A69" s="151" t="s">
        <v>826</v>
      </c>
      <c r="B69" s="151"/>
      <c r="C69" s="151"/>
      <c r="D69" s="151"/>
      <c r="E69" s="151"/>
      <c r="F69" s="151"/>
      <c r="G69" s="151"/>
    </row>
    <row r="70" spans="1:7">
      <c r="A70" s="151"/>
      <c r="B70" s="151"/>
      <c r="C70" s="151"/>
      <c r="D70" s="151"/>
      <c r="E70" s="151"/>
      <c r="F70" s="151"/>
      <c r="G70" s="151"/>
    </row>
    <row r="71" spans="1:7">
      <c r="A71" s="151"/>
      <c r="B71" s="151"/>
      <c r="C71" s="151"/>
      <c r="D71" s="151"/>
      <c r="E71" s="151"/>
      <c r="F71" s="151"/>
      <c r="G71" s="151"/>
    </row>
    <row r="72" spans="1:7">
      <c r="A72" s="151"/>
      <c r="B72" s="151"/>
      <c r="C72" s="151"/>
      <c r="D72" s="151"/>
      <c r="E72" s="151"/>
      <c r="F72" s="151"/>
      <c r="G72" s="151"/>
    </row>
    <row r="73" spans="1:7">
      <c r="A73" s="151"/>
      <c r="B73" s="151"/>
      <c r="C73" s="151"/>
      <c r="D73" s="151"/>
      <c r="E73" s="151"/>
      <c r="F73" s="151"/>
      <c r="G73" s="151"/>
    </row>
    <row r="74" spans="1:7">
      <c r="A74" s="151"/>
      <c r="B74" s="151"/>
      <c r="C74" s="151"/>
      <c r="D74" s="151"/>
      <c r="E74" s="151"/>
      <c r="F74" s="151"/>
      <c r="G74" s="151"/>
    </row>
    <row r="75" spans="1:7">
      <c r="A75" s="151"/>
      <c r="B75" s="151"/>
      <c r="C75" s="151"/>
      <c r="D75" s="151"/>
      <c r="E75" s="151"/>
      <c r="F75" s="151"/>
      <c r="G75" s="151"/>
    </row>
    <row r="76" spans="1:7">
      <c r="A76" s="32"/>
      <c r="B76" s="32"/>
      <c r="C76" s="32"/>
      <c r="D76" s="32"/>
      <c r="E76" s="32"/>
      <c r="F76" s="32"/>
      <c r="G76" s="32"/>
    </row>
    <row r="77" spans="1:7">
      <c r="A77" s="124" t="s">
        <v>111</v>
      </c>
      <c r="B77" s="32"/>
      <c r="C77" s="32"/>
      <c r="D77" s="32"/>
      <c r="E77" s="32"/>
      <c r="F77" s="32"/>
      <c r="G77" s="32"/>
    </row>
    <row r="78" spans="1:7">
      <c r="A78" s="152" t="s">
        <v>827</v>
      </c>
      <c r="B78" s="152"/>
      <c r="C78" s="152"/>
      <c r="D78" s="152"/>
      <c r="E78" s="152"/>
      <c r="F78" s="152"/>
      <c r="G78" s="152"/>
    </row>
    <row r="79" spans="1:7">
      <c r="A79" s="152"/>
      <c r="B79" s="152"/>
      <c r="C79" s="152"/>
      <c r="D79" s="152"/>
      <c r="E79" s="152"/>
      <c r="F79" s="152"/>
      <c r="G79" s="152"/>
    </row>
    <row r="80" spans="1:7">
      <c r="A80" s="152"/>
      <c r="B80" s="152"/>
      <c r="C80" s="152"/>
      <c r="D80" s="152"/>
      <c r="E80" s="152"/>
      <c r="F80" s="152"/>
      <c r="G80" s="152"/>
    </row>
    <row r="81" spans="1:7">
      <c r="A81" s="152"/>
      <c r="B81" s="152"/>
      <c r="C81" s="152"/>
      <c r="D81" s="152"/>
      <c r="E81" s="152"/>
      <c r="F81" s="152"/>
      <c r="G81" s="152"/>
    </row>
    <row r="82" spans="1:7">
      <c r="A82" s="152"/>
      <c r="B82" s="152"/>
      <c r="C82" s="152"/>
      <c r="D82" s="152"/>
      <c r="E82" s="152"/>
      <c r="F82" s="152"/>
      <c r="G82" s="152"/>
    </row>
    <row r="83" spans="1:7">
      <c r="A83" s="152"/>
      <c r="B83" s="152"/>
      <c r="C83" s="152"/>
      <c r="D83" s="152"/>
      <c r="E83" s="152"/>
      <c r="F83" s="152"/>
      <c r="G83" s="152"/>
    </row>
    <row r="84" spans="1:7">
      <c r="A84" s="152"/>
      <c r="B84" s="152"/>
      <c r="C84" s="152"/>
      <c r="D84" s="152"/>
      <c r="E84" s="152"/>
      <c r="F84" s="152"/>
      <c r="G84" s="152"/>
    </row>
    <row r="85" spans="1:7">
      <c r="A85" s="152"/>
      <c r="B85" s="152"/>
      <c r="C85" s="152"/>
      <c r="D85" s="152"/>
      <c r="E85" s="152"/>
      <c r="F85" s="152"/>
      <c r="G85" s="152"/>
    </row>
    <row r="86" spans="1:7">
      <c r="A86" s="152"/>
      <c r="B86" s="152"/>
      <c r="C86" s="152"/>
      <c r="D86" s="152"/>
      <c r="E86" s="152"/>
      <c r="F86" s="152"/>
      <c r="G86" s="152"/>
    </row>
  </sheetData>
  <mergeCells count="3">
    <mergeCell ref="A58:G66"/>
    <mergeCell ref="A69:G75"/>
    <mergeCell ref="A78:G8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BD8E9-6088-41EC-8461-2C9EC04101D2}">
  <dimension ref="A1:G111"/>
  <sheetViews>
    <sheetView zoomScale="82" zoomScaleNormal="100" workbookViewId="0">
      <selection activeCell="C105" sqref="C105"/>
    </sheetView>
  </sheetViews>
  <sheetFormatPr defaultRowHeight="15"/>
  <cols>
    <col min="1" max="1" width="18.42578125" style="24" customWidth="1"/>
    <col min="2" max="2" width="20.85546875" style="24" customWidth="1"/>
    <col min="3" max="3" width="17.85546875" style="24" customWidth="1"/>
    <col min="4" max="4" width="16.42578125" style="24" customWidth="1"/>
    <col min="5" max="6" width="14.7109375" style="24" customWidth="1"/>
    <col min="7" max="7" width="16.7109375" customWidth="1"/>
    <col min="11" max="16" width="10.7109375" customWidth="1"/>
    <col min="17" max="17" width="17.28515625" customWidth="1"/>
  </cols>
  <sheetData>
    <row r="1" spans="1:6">
      <c r="A1" s="127" t="s">
        <v>726</v>
      </c>
    </row>
    <row r="2" spans="1:6">
      <c r="A2" s="127" t="s">
        <v>828</v>
      </c>
    </row>
    <row r="3" spans="1:6">
      <c r="A3" s="127"/>
    </row>
    <row r="4" spans="1:6">
      <c r="A4" s="33" t="s">
        <v>840</v>
      </c>
      <c r="B4" s="34"/>
      <c r="C4" s="34"/>
      <c r="D4" s="34"/>
      <c r="E4" s="34"/>
      <c r="F4" s="34"/>
    </row>
    <row r="5" spans="1:6">
      <c r="A5" s="34"/>
      <c r="B5" s="34"/>
      <c r="C5" s="34"/>
      <c r="D5" s="34"/>
      <c r="E5" s="34"/>
      <c r="F5" s="34"/>
    </row>
    <row r="6" spans="1:6">
      <c r="A6" s="60" t="s">
        <v>841</v>
      </c>
      <c r="B6" s="60" t="s">
        <v>842</v>
      </c>
      <c r="C6" s="60" t="s">
        <v>843</v>
      </c>
      <c r="D6" s="128" t="s">
        <v>844</v>
      </c>
      <c r="E6" s="129" t="s">
        <v>845</v>
      </c>
      <c r="F6" s="60" t="s">
        <v>846</v>
      </c>
    </row>
    <row r="7" spans="1:6">
      <c r="A7" s="126" t="s">
        <v>847</v>
      </c>
      <c r="B7" s="126">
        <v>725</v>
      </c>
      <c r="C7" s="126">
        <v>20</v>
      </c>
      <c r="D7" s="130">
        <v>11320</v>
      </c>
      <c r="E7" s="131">
        <v>0.25</v>
      </c>
      <c r="F7" s="126" t="s">
        <v>848</v>
      </c>
    </row>
    <row r="8" spans="1:6">
      <c r="A8" s="126" t="s">
        <v>847</v>
      </c>
      <c r="B8" s="126">
        <v>573</v>
      </c>
      <c r="C8" s="126">
        <v>9</v>
      </c>
      <c r="D8" s="130">
        <v>7200</v>
      </c>
      <c r="E8" s="131">
        <v>0.7</v>
      </c>
      <c r="F8" s="126" t="s">
        <v>849</v>
      </c>
    </row>
    <row r="9" spans="1:6">
      <c r="A9" s="126" t="s">
        <v>847</v>
      </c>
      <c r="B9" s="126">
        <v>677</v>
      </c>
      <c r="C9" s="126">
        <v>11</v>
      </c>
      <c r="D9" s="130">
        <v>20000</v>
      </c>
      <c r="E9" s="131">
        <v>0.55000000000000004</v>
      </c>
      <c r="F9" s="126" t="s">
        <v>848</v>
      </c>
    </row>
    <row r="10" spans="1:6" hidden="1">
      <c r="A10" s="126" t="s">
        <v>850</v>
      </c>
      <c r="B10" s="126">
        <v>625</v>
      </c>
      <c r="C10" s="126">
        <v>15</v>
      </c>
      <c r="D10" s="130">
        <v>12800</v>
      </c>
      <c r="E10" s="131">
        <v>0.65</v>
      </c>
      <c r="F10" s="126" t="s">
        <v>849</v>
      </c>
    </row>
    <row r="11" spans="1:6" hidden="1">
      <c r="A11" s="126" t="s">
        <v>850</v>
      </c>
      <c r="B11" s="126">
        <v>527</v>
      </c>
      <c r="C11" s="126">
        <v>12</v>
      </c>
      <c r="D11" s="130">
        <v>5700</v>
      </c>
      <c r="E11" s="131">
        <v>0.75</v>
      </c>
      <c r="F11" s="126" t="s">
        <v>849</v>
      </c>
    </row>
    <row r="12" spans="1:6" hidden="1">
      <c r="A12" s="126" t="s">
        <v>847</v>
      </c>
      <c r="B12" s="126">
        <v>795</v>
      </c>
      <c r="C12" s="126">
        <v>22</v>
      </c>
      <c r="D12" s="130">
        <v>9000</v>
      </c>
      <c r="E12" s="131">
        <v>0.12</v>
      </c>
      <c r="F12" s="126" t="s">
        <v>848</v>
      </c>
    </row>
    <row r="13" spans="1:6" hidden="1">
      <c r="A13" s="126" t="s">
        <v>850</v>
      </c>
      <c r="B13" s="126">
        <v>733</v>
      </c>
      <c r="C13" s="126">
        <v>7</v>
      </c>
      <c r="D13" s="130">
        <v>35200</v>
      </c>
      <c r="E13" s="131">
        <v>0.2</v>
      </c>
      <c r="F13" s="126" t="s">
        <v>848</v>
      </c>
    </row>
    <row r="14" spans="1:6" hidden="1">
      <c r="A14" s="126" t="s">
        <v>850</v>
      </c>
      <c r="B14" s="126">
        <v>620</v>
      </c>
      <c r="C14" s="126">
        <v>5</v>
      </c>
      <c r="D14" s="130">
        <v>22800</v>
      </c>
      <c r="E14" s="131">
        <v>0.62</v>
      </c>
      <c r="F14" s="126" t="s">
        <v>849</v>
      </c>
    </row>
    <row r="15" spans="1:6" hidden="1">
      <c r="A15" s="126" t="s">
        <v>847</v>
      </c>
      <c r="B15" s="126">
        <v>591</v>
      </c>
      <c r="C15" s="126">
        <v>17</v>
      </c>
      <c r="D15" s="130">
        <v>16500</v>
      </c>
      <c r="E15" s="131">
        <v>0.5</v>
      </c>
      <c r="F15" s="126" t="s">
        <v>849</v>
      </c>
    </row>
    <row r="16" spans="1:6" hidden="1">
      <c r="A16" s="126" t="s">
        <v>847</v>
      </c>
      <c r="B16" s="126">
        <v>660</v>
      </c>
      <c r="C16" s="126">
        <v>24</v>
      </c>
      <c r="D16" s="130">
        <v>9200</v>
      </c>
      <c r="E16" s="131">
        <v>0.35</v>
      </c>
      <c r="F16" s="126" t="s">
        <v>848</v>
      </c>
    </row>
    <row r="17" spans="1:6" hidden="1">
      <c r="A17" s="126" t="s">
        <v>847</v>
      </c>
      <c r="B17" s="126">
        <v>700</v>
      </c>
      <c r="C17" s="126">
        <v>19</v>
      </c>
      <c r="D17" s="130">
        <v>22000</v>
      </c>
      <c r="E17" s="131">
        <v>0.18</v>
      </c>
      <c r="F17" s="126" t="s">
        <v>848</v>
      </c>
    </row>
    <row r="18" spans="1:6" hidden="1">
      <c r="A18" s="126" t="s">
        <v>847</v>
      </c>
      <c r="B18" s="126">
        <v>500</v>
      </c>
      <c r="C18" s="126">
        <v>16</v>
      </c>
      <c r="D18" s="130">
        <v>12500</v>
      </c>
      <c r="E18" s="131">
        <v>0.83</v>
      </c>
      <c r="F18" s="126" t="s">
        <v>849</v>
      </c>
    </row>
    <row r="19" spans="1:6" hidden="1">
      <c r="A19" s="126" t="s">
        <v>847</v>
      </c>
      <c r="B19" s="126">
        <v>565</v>
      </c>
      <c r="C19" s="126">
        <v>6</v>
      </c>
      <c r="D19" s="130">
        <v>7700</v>
      </c>
      <c r="E19" s="131">
        <v>0.7</v>
      </c>
      <c r="F19" s="126" t="s">
        <v>849</v>
      </c>
    </row>
    <row r="20" spans="1:6" hidden="1">
      <c r="A20" s="126" t="s">
        <v>850</v>
      </c>
      <c r="B20" s="126">
        <v>620</v>
      </c>
      <c r="C20" s="126">
        <v>3</v>
      </c>
      <c r="D20" s="130">
        <v>37400</v>
      </c>
      <c r="E20" s="131">
        <v>0.87</v>
      </c>
      <c r="F20" s="126" t="s">
        <v>849</v>
      </c>
    </row>
    <row r="21" spans="1:6" hidden="1">
      <c r="A21" s="126" t="s">
        <v>847</v>
      </c>
      <c r="B21" s="126">
        <v>774</v>
      </c>
      <c r="C21" s="126">
        <v>13</v>
      </c>
      <c r="D21" s="130">
        <v>6100</v>
      </c>
      <c r="E21" s="131">
        <v>7.0000000000000007E-2</v>
      </c>
      <c r="F21" s="126" t="s">
        <v>848</v>
      </c>
    </row>
    <row r="22" spans="1:6" hidden="1">
      <c r="A22" s="126" t="s">
        <v>847</v>
      </c>
      <c r="B22" s="126">
        <v>802</v>
      </c>
      <c r="C22" s="126">
        <v>10</v>
      </c>
      <c r="D22" s="130">
        <v>10500</v>
      </c>
      <c r="E22" s="131">
        <v>0.05</v>
      </c>
      <c r="F22" s="126" t="s">
        <v>848</v>
      </c>
    </row>
    <row r="23" spans="1:6" hidden="1">
      <c r="A23" s="126" t="s">
        <v>850</v>
      </c>
      <c r="B23" s="126">
        <v>640</v>
      </c>
      <c r="C23" s="126">
        <v>7</v>
      </c>
      <c r="D23" s="130">
        <v>17300</v>
      </c>
      <c r="E23" s="131">
        <v>0.59</v>
      </c>
      <c r="F23" s="126" t="s">
        <v>849</v>
      </c>
    </row>
    <row r="24" spans="1:6" hidden="1">
      <c r="A24" s="126" t="s">
        <v>850</v>
      </c>
      <c r="B24" s="126">
        <v>523</v>
      </c>
      <c r="C24" s="126">
        <v>14</v>
      </c>
      <c r="D24" s="130">
        <v>27000</v>
      </c>
      <c r="E24" s="131">
        <v>0.79</v>
      </c>
      <c r="F24" s="126" t="s">
        <v>849</v>
      </c>
    </row>
    <row r="25" spans="1:6" hidden="1">
      <c r="A25" s="126" t="s">
        <v>847</v>
      </c>
      <c r="B25" s="126">
        <v>811</v>
      </c>
      <c r="C25" s="126">
        <v>20</v>
      </c>
      <c r="D25" s="130">
        <v>13400</v>
      </c>
      <c r="E25" s="131">
        <v>0.03</v>
      </c>
      <c r="F25" s="126" t="s">
        <v>848</v>
      </c>
    </row>
    <row r="26" spans="1:6" hidden="1">
      <c r="A26" s="126" t="s">
        <v>850</v>
      </c>
      <c r="B26" s="126">
        <v>763</v>
      </c>
      <c r="C26" s="126">
        <v>2</v>
      </c>
      <c r="D26" s="130">
        <v>11200</v>
      </c>
      <c r="E26" s="131">
        <v>0.7</v>
      </c>
      <c r="F26" s="126" t="s">
        <v>849</v>
      </c>
    </row>
    <row r="27" spans="1:6" hidden="1">
      <c r="A27" s="126" t="s">
        <v>850</v>
      </c>
      <c r="B27" s="126">
        <v>555</v>
      </c>
      <c r="C27" s="126">
        <v>4</v>
      </c>
      <c r="D27" s="130">
        <v>2500</v>
      </c>
      <c r="E27" s="131">
        <v>1</v>
      </c>
      <c r="F27" s="126" t="s">
        <v>849</v>
      </c>
    </row>
    <row r="28" spans="1:6" hidden="1">
      <c r="A28" s="126" t="s">
        <v>850</v>
      </c>
      <c r="B28" s="126">
        <v>617</v>
      </c>
      <c r="C28" s="126">
        <v>9</v>
      </c>
      <c r="D28" s="130">
        <v>8400</v>
      </c>
      <c r="E28" s="131">
        <v>0.34</v>
      </c>
      <c r="F28" s="126" t="s">
        <v>849</v>
      </c>
    </row>
    <row r="29" spans="1:6" hidden="1">
      <c r="A29" s="126" t="s">
        <v>847</v>
      </c>
      <c r="B29" s="126">
        <v>642</v>
      </c>
      <c r="C29" s="126">
        <v>13</v>
      </c>
      <c r="D29" s="130">
        <v>16000</v>
      </c>
      <c r="E29" s="131">
        <v>0.25</v>
      </c>
      <c r="F29" s="126" t="s">
        <v>848</v>
      </c>
    </row>
    <row r="30" spans="1:6" hidden="1">
      <c r="A30" s="126" t="s">
        <v>850</v>
      </c>
      <c r="B30" s="126">
        <v>688</v>
      </c>
      <c r="C30" s="126">
        <v>3</v>
      </c>
      <c r="D30" s="130">
        <v>3300</v>
      </c>
      <c r="E30" s="131">
        <v>0.11</v>
      </c>
      <c r="F30" s="126" t="s">
        <v>848</v>
      </c>
    </row>
    <row r="31" spans="1:6" hidden="1">
      <c r="A31" s="126" t="s">
        <v>847</v>
      </c>
      <c r="B31" s="126">
        <v>649</v>
      </c>
      <c r="C31" s="126">
        <v>12</v>
      </c>
      <c r="D31" s="130">
        <v>7500</v>
      </c>
      <c r="E31" s="131">
        <v>0.05</v>
      </c>
      <c r="F31" s="126" t="s">
        <v>848</v>
      </c>
    </row>
    <row r="32" spans="1:6" hidden="1">
      <c r="A32" s="126" t="s">
        <v>847</v>
      </c>
      <c r="B32" s="126">
        <v>695</v>
      </c>
      <c r="C32" s="126">
        <v>15</v>
      </c>
      <c r="D32" s="130">
        <v>20300</v>
      </c>
      <c r="E32" s="131">
        <v>0.22</v>
      </c>
      <c r="F32" s="126" t="s">
        <v>848</v>
      </c>
    </row>
    <row r="33" spans="1:6" hidden="1">
      <c r="A33" s="126" t="s">
        <v>847</v>
      </c>
      <c r="B33" s="126">
        <v>701</v>
      </c>
      <c r="C33" s="126">
        <v>9</v>
      </c>
      <c r="D33" s="130">
        <v>11700</v>
      </c>
      <c r="E33" s="131">
        <v>0.15</v>
      </c>
      <c r="F33" s="126" t="s">
        <v>848</v>
      </c>
    </row>
    <row r="34" spans="1:6" hidden="1">
      <c r="A34" s="126" t="s">
        <v>850</v>
      </c>
      <c r="B34" s="126">
        <v>635</v>
      </c>
      <c r="C34" s="126">
        <v>7</v>
      </c>
      <c r="D34" s="130">
        <v>29100</v>
      </c>
      <c r="E34" s="131">
        <v>0.85</v>
      </c>
      <c r="F34" s="126" t="s">
        <v>849</v>
      </c>
    </row>
    <row r="35" spans="1:6" hidden="1">
      <c r="A35" s="126" t="s">
        <v>850</v>
      </c>
      <c r="B35" s="126">
        <v>507</v>
      </c>
      <c r="C35" s="126">
        <v>2</v>
      </c>
      <c r="D35" s="130">
        <v>2000</v>
      </c>
      <c r="E35" s="131">
        <v>1</v>
      </c>
      <c r="F35" s="126" t="s">
        <v>849</v>
      </c>
    </row>
    <row r="36" spans="1:6" hidden="1">
      <c r="A36" s="126" t="s">
        <v>847</v>
      </c>
      <c r="B36" s="126">
        <v>677</v>
      </c>
      <c r="C36" s="126">
        <v>12</v>
      </c>
      <c r="D36" s="130">
        <v>7600</v>
      </c>
      <c r="E36" s="131">
        <v>0.09</v>
      </c>
      <c r="F36" s="126" t="s">
        <v>848</v>
      </c>
    </row>
    <row r="37" spans="1:6" hidden="1">
      <c r="A37" s="126" t="s">
        <v>850</v>
      </c>
      <c r="B37" s="126">
        <v>485</v>
      </c>
      <c r="C37" s="126">
        <v>5</v>
      </c>
      <c r="D37" s="130">
        <v>1000</v>
      </c>
      <c r="E37" s="131">
        <v>0.8</v>
      </c>
      <c r="F37" s="126" t="s">
        <v>849</v>
      </c>
    </row>
    <row r="38" spans="1:6" hidden="1">
      <c r="A38" s="126" t="s">
        <v>850</v>
      </c>
      <c r="B38" s="126">
        <v>582</v>
      </c>
      <c r="C38" s="126">
        <v>3</v>
      </c>
      <c r="D38" s="130">
        <v>8500</v>
      </c>
      <c r="E38" s="131">
        <v>0.65</v>
      </c>
      <c r="F38" s="126" t="s">
        <v>849</v>
      </c>
    </row>
    <row r="39" spans="1:6" hidden="1">
      <c r="A39" s="126" t="s">
        <v>847</v>
      </c>
      <c r="B39" s="126">
        <v>699</v>
      </c>
      <c r="C39" s="126">
        <v>17</v>
      </c>
      <c r="D39" s="130">
        <v>12800</v>
      </c>
      <c r="E39" s="131">
        <v>0.27</v>
      </c>
      <c r="F39" s="126" t="s">
        <v>848</v>
      </c>
    </row>
    <row r="40" spans="1:6" hidden="1">
      <c r="A40" s="126" t="s">
        <v>847</v>
      </c>
      <c r="B40" s="126">
        <v>703</v>
      </c>
      <c r="C40" s="126">
        <v>22</v>
      </c>
      <c r="D40" s="130">
        <v>10000</v>
      </c>
      <c r="E40" s="131">
        <v>0.2</v>
      </c>
      <c r="F40" s="126" t="s">
        <v>848</v>
      </c>
    </row>
    <row r="41" spans="1:6" hidden="1">
      <c r="A41" s="126" t="s">
        <v>850</v>
      </c>
      <c r="B41" s="126">
        <v>585</v>
      </c>
      <c r="C41" s="126">
        <v>18</v>
      </c>
      <c r="D41" s="130">
        <v>31000</v>
      </c>
      <c r="E41" s="131">
        <v>0.78</v>
      </c>
      <c r="F41" s="126" t="s">
        <v>849</v>
      </c>
    </row>
    <row r="42" spans="1:6" hidden="1">
      <c r="A42" s="126" t="s">
        <v>847</v>
      </c>
      <c r="B42" s="126">
        <v>620</v>
      </c>
      <c r="C42" s="126">
        <v>8</v>
      </c>
      <c r="D42" s="130">
        <v>16200</v>
      </c>
      <c r="E42" s="131">
        <v>0.55000000000000004</v>
      </c>
      <c r="F42" s="126" t="s">
        <v>849</v>
      </c>
    </row>
    <row r="43" spans="1:6" hidden="1">
      <c r="A43" s="126" t="s">
        <v>847</v>
      </c>
      <c r="B43" s="126">
        <v>695</v>
      </c>
      <c r="C43" s="126">
        <v>16</v>
      </c>
      <c r="D43" s="130">
        <v>9700</v>
      </c>
      <c r="E43" s="131">
        <v>0.11</v>
      </c>
      <c r="F43" s="126" t="s">
        <v>848</v>
      </c>
    </row>
    <row r="44" spans="1:6" hidden="1">
      <c r="A44" s="126" t="s">
        <v>847</v>
      </c>
      <c r="B44" s="126">
        <v>774</v>
      </c>
      <c r="C44" s="126">
        <v>13</v>
      </c>
      <c r="D44" s="130">
        <v>6100</v>
      </c>
      <c r="E44" s="131">
        <v>7.0000000000000007E-2</v>
      </c>
      <c r="F44" s="126" t="s">
        <v>848</v>
      </c>
    </row>
    <row r="45" spans="1:6" hidden="1">
      <c r="A45" s="126" t="s">
        <v>847</v>
      </c>
      <c r="B45" s="126">
        <v>802</v>
      </c>
      <c r="C45" s="126">
        <v>10</v>
      </c>
      <c r="D45" s="130">
        <v>10500</v>
      </c>
      <c r="E45" s="131">
        <v>0.05</v>
      </c>
      <c r="F45" s="126" t="s">
        <v>848</v>
      </c>
    </row>
    <row r="46" spans="1:6" hidden="1">
      <c r="A46" s="126" t="s">
        <v>850</v>
      </c>
      <c r="B46" s="126">
        <v>640</v>
      </c>
      <c r="C46" s="126">
        <v>7</v>
      </c>
      <c r="D46" s="130">
        <v>17300</v>
      </c>
      <c r="E46" s="131">
        <v>0.59</v>
      </c>
      <c r="F46" s="126" t="s">
        <v>849</v>
      </c>
    </row>
    <row r="47" spans="1:6" hidden="1">
      <c r="A47" s="126" t="s">
        <v>850</v>
      </c>
      <c r="B47" s="126">
        <v>536</v>
      </c>
      <c r="C47" s="126">
        <v>14</v>
      </c>
      <c r="D47" s="130">
        <v>27000</v>
      </c>
      <c r="E47" s="131">
        <v>0.79</v>
      </c>
      <c r="F47" s="126" t="s">
        <v>849</v>
      </c>
    </row>
    <row r="48" spans="1:6" hidden="1">
      <c r="A48" s="126" t="s">
        <v>847</v>
      </c>
      <c r="B48" s="126">
        <v>801</v>
      </c>
      <c r="C48" s="126">
        <v>20</v>
      </c>
      <c r="D48" s="130">
        <v>13400</v>
      </c>
      <c r="E48" s="131">
        <v>0.03</v>
      </c>
      <c r="F48" s="126" t="s">
        <v>848</v>
      </c>
    </row>
    <row r="49" spans="1:6" hidden="1">
      <c r="A49" s="126" t="s">
        <v>850</v>
      </c>
      <c r="B49" s="126">
        <v>760</v>
      </c>
      <c r="C49" s="126">
        <v>2</v>
      </c>
      <c r="D49" s="130">
        <v>11200</v>
      </c>
      <c r="E49" s="131">
        <v>0.7</v>
      </c>
      <c r="F49" s="126" t="s">
        <v>849</v>
      </c>
    </row>
    <row r="50" spans="1:6" hidden="1">
      <c r="A50" s="126" t="s">
        <v>850</v>
      </c>
      <c r="B50" s="126">
        <v>567</v>
      </c>
      <c r="C50" s="126">
        <v>4</v>
      </c>
      <c r="D50" s="130">
        <v>2200</v>
      </c>
      <c r="E50" s="131">
        <v>0.95</v>
      </c>
      <c r="F50" s="126" t="s">
        <v>849</v>
      </c>
    </row>
    <row r="51" spans="1:6" hidden="1">
      <c r="A51" s="126" t="s">
        <v>850</v>
      </c>
      <c r="B51" s="126">
        <v>600</v>
      </c>
      <c r="C51" s="126">
        <v>10</v>
      </c>
      <c r="D51" s="130">
        <v>12050</v>
      </c>
      <c r="E51" s="131">
        <v>0.81</v>
      </c>
      <c r="F51" s="126" t="s">
        <v>849</v>
      </c>
    </row>
    <row r="52" spans="1:6" hidden="1">
      <c r="A52" s="126" t="s">
        <v>847</v>
      </c>
      <c r="B52" s="126">
        <v>702</v>
      </c>
      <c r="C52" s="126">
        <v>11</v>
      </c>
      <c r="D52" s="130">
        <v>11700</v>
      </c>
      <c r="E52" s="131">
        <v>0.15</v>
      </c>
      <c r="F52" s="126" t="s">
        <v>848</v>
      </c>
    </row>
    <row r="53" spans="1:6" hidden="1">
      <c r="A53" s="126" t="s">
        <v>847</v>
      </c>
      <c r="B53" s="126">
        <v>636</v>
      </c>
      <c r="C53" s="126">
        <v>8</v>
      </c>
      <c r="D53" s="130">
        <v>29100</v>
      </c>
      <c r="E53" s="131">
        <v>0.85</v>
      </c>
      <c r="F53" s="126" t="s">
        <v>849</v>
      </c>
    </row>
    <row r="54" spans="1:6">
      <c r="A54" s="126"/>
      <c r="B54" s="126">
        <v>509</v>
      </c>
      <c r="C54" s="126">
        <v>3</v>
      </c>
      <c r="D54" s="130">
        <v>2000</v>
      </c>
      <c r="E54" s="131">
        <v>1</v>
      </c>
      <c r="F54" s="126" t="s">
        <v>849</v>
      </c>
    </row>
    <row r="55" spans="1:6">
      <c r="A55" s="126" t="s">
        <v>850</v>
      </c>
      <c r="B55" s="126">
        <v>595</v>
      </c>
      <c r="C55" s="126">
        <v>18</v>
      </c>
      <c r="D55" s="130">
        <v>29000</v>
      </c>
      <c r="E55" s="131">
        <v>0.78</v>
      </c>
      <c r="F55" s="126" t="s">
        <v>849</v>
      </c>
    </row>
    <row r="56" spans="1:6">
      <c r="A56" s="126" t="s">
        <v>847</v>
      </c>
      <c r="B56" s="126">
        <v>733</v>
      </c>
      <c r="C56" s="126">
        <v>15</v>
      </c>
      <c r="D56" s="130">
        <v>13000</v>
      </c>
      <c r="E56" s="131">
        <v>0.24</v>
      </c>
      <c r="F56" s="126" t="s">
        <v>848</v>
      </c>
    </row>
    <row r="58" spans="1:6">
      <c r="A58" s="132" t="s">
        <v>108</v>
      </c>
    </row>
    <row r="59" spans="1:6">
      <c r="A59" s="152" t="s">
        <v>851</v>
      </c>
      <c r="B59" s="152"/>
      <c r="C59" s="152"/>
      <c r="D59" s="152"/>
      <c r="E59" s="152"/>
      <c r="F59" s="152"/>
    </row>
    <row r="60" spans="1:6">
      <c r="A60" s="152"/>
      <c r="B60" s="152"/>
      <c r="C60" s="152"/>
      <c r="D60" s="152"/>
      <c r="E60" s="152"/>
      <c r="F60" s="152"/>
    </row>
    <row r="61" spans="1:6">
      <c r="A61" s="152"/>
      <c r="B61" s="152"/>
      <c r="C61" s="152"/>
      <c r="D61" s="152"/>
      <c r="E61" s="152"/>
      <c r="F61" s="152"/>
    </row>
    <row r="62" spans="1:6">
      <c r="A62" s="152"/>
      <c r="B62" s="152"/>
      <c r="C62" s="152"/>
      <c r="D62" s="152"/>
      <c r="E62" s="152"/>
      <c r="F62" s="152"/>
    </row>
    <row r="63" spans="1:6">
      <c r="A63" s="152"/>
      <c r="B63" s="152"/>
      <c r="C63" s="152"/>
      <c r="D63" s="152"/>
      <c r="E63" s="152"/>
      <c r="F63" s="152"/>
    </row>
    <row r="64" spans="1:6">
      <c r="A64" s="152"/>
      <c r="B64" s="152"/>
      <c r="C64" s="152"/>
      <c r="D64" s="152"/>
      <c r="E64" s="152"/>
      <c r="F64" s="152"/>
    </row>
    <row r="65" spans="1:7">
      <c r="A65" s="152"/>
      <c r="B65" s="152"/>
      <c r="C65" s="152"/>
      <c r="D65" s="152"/>
      <c r="E65" s="152"/>
      <c r="F65" s="152"/>
    </row>
    <row r="66" spans="1:7">
      <c r="A66" s="152"/>
      <c r="B66" s="152"/>
      <c r="C66" s="152"/>
      <c r="D66" s="152"/>
      <c r="E66" s="152"/>
      <c r="F66" s="152"/>
    </row>
    <row r="67" spans="1:7">
      <c r="A67" s="152"/>
      <c r="B67" s="152"/>
      <c r="C67" s="152"/>
      <c r="D67" s="152"/>
      <c r="E67" s="152"/>
      <c r="F67" s="152"/>
    </row>
    <row r="68" spans="1:7">
      <c r="A68" s="152"/>
      <c r="B68" s="152"/>
      <c r="C68" s="152"/>
      <c r="D68" s="152"/>
      <c r="E68" s="152"/>
      <c r="F68" s="152"/>
    </row>
    <row r="69" spans="1:7">
      <c r="A69" s="152"/>
      <c r="B69" s="152"/>
      <c r="C69" s="152"/>
      <c r="D69" s="152"/>
      <c r="E69" s="152"/>
      <c r="F69" s="152"/>
    </row>
    <row r="70" spans="1:7" ht="15.75" thickBot="1">
      <c r="A70" s="125" t="s">
        <v>829</v>
      </c>
      <c r="B70" s="125" t="s">
        <v>120</v>
      </c>
      <c r="C70" s="125" t="s">
        <v>830</v>
      </c>
      <c r="D70" s="125" t="s">
        <v>831</v>
      </c>
      <c r="E70" s="125" t="s">
        <v>832</v>
      </c>
      <c r="F70" s="125" t="s">
        <v>123</v>
      </c>
      <c r="G70" s="125" t="s">
        <v>833</v>
      </c>
    </row>
    <row r="71" spans="1:7">
      <c r="A71" s="7" t="s">
        <v>834</v>
      </c>
      <c r="B71" s="7">
        <v>14</v>
      </c>
      <c r="C71" s="7">
        <v>100</v>
      </c>
      <c r="D71" s="7">
        <v>0</v>
      </c>
      <c r="E71" s="7">
        <v>70</v>
      </c>
      <c r="F71" s="126" t="s">
        <v>835</v>
      </c>
      <c r="G71" s="7">
        <f>SQRT(SUMXMY2($B$71:$E$71,B71:E71))</f>
        <v>0</v>
      </c>
    </row>
    <row r="72" spans="1:7">
      <c r="A72" s="7" t="s">
        <v>836</v>
      </c>
      <c r="B72" s="7">
        <v>70</v>
      </c>
      <c r="C72" s="7">
        <v>1000</v>
      </c>
      <c r="D72" s="7">
        <v>0</v>
      </c>
      <c r="E72" s="7">
        <v>300</v>
      </c>
      <c r="F72" s="7">
        <v>0</v>
      </c>
      <c r="G72" s="7">
        <f>SQRT(SUMXMY2($B$71:$E$71,B72:E72))</f>
        <v>930.61055227200166</v>
      </c>
    </row>
    <row r="73" spans="1:7">
      <c r="A73" s="7" t="s">
        <v>837</v>
      </c>
      <c r="B73" s="7">
        <v>16</v>
      </c>
      <c r="C73" s="7">
        <v>3000</v>
      </c>
      <c r="D73" s="7">
        <v>5000</v>
      </c>
      <c r="E73" s="7">
        <v>110</v>
      </c>
      <c r="F73" s="7">
        <v>1</v>
      </c>
      <c r="G73" s="7">
        <f>SQRT(SUMXMY2($B$71:$E$71,B73:E73))</f>
        <v>5780.2771559848234</v>
      </c>
    </row>
    <row r="74" spans="1:7">
      <c r="A74" s="7" t="s">
        <v>838</v>
      </c>
      <c r="B74" s="7">
        <v>34</v>
      </c>
      <c r="C74" s="7">
        <v>0</v>
      </c>
      <c r="D74" s="7">
        <v>100000</v>
      </c>
      <c r="E74" s="7">
        <v>50</v>
      </c>
      <c r="F74" s="7">
        <v>0</v>
      </c>
      <c r="G74" s="7">
        <f>SQRT(SUMXMY2($B$71:$E$71,B74:E74))</f>
        <v>100000.05399998542</v>
      </c>
    </row>
    <row r="75" spans="1:7">
      <c r="A75" s="7" t="s">
        <v>839</v>
      </c>
      <c r="B75" s="7">
        <v>33</v>
      </c>
      <c r="C75" s="7">
        <v>40000</v>
      </c>
      <c r="D75" s="7">
        <v>1000</v>
      </c>
      <c r="E75" s="7">
        <v>110</v>
      </c>
      <c r="F75" s="7">
        <v>1</v>
      </c>
      <c r="G75" s="7">
        <f>SQRT(SUMXMY2($B$71:$E$71,B75:E75))</f>
        <v>39912.553927304623</v>
      </c>
    </row>
    <row r="76" spans="1:7">
      <c r="A76" s="7"/>
      <c r="B76" s="7"/>
      <c r="C76" s="7"/>
      <c r="D76" s="7"/>
      <c r="E76" s="7"/>
      <c r="F76" s="7"/>
      <c r="G76" s="7"/>
    </row>
    <row r="77" spans="1:7">
      <c r="A77" s="152" t="s">
        <v>852</v>
      </c>
      <c r="B77" s="152"/>
      <c r="C77" s="152"/>
      <c r="D77" s="152"/>
      <c r="E77" s="152"/>
      <c r="F77" s="152"/>
    </row>
    <row r="78" spans="1:7">
      <c r="A78" s="152"/>
      <c r="B78" s="152"/>
      <c r="C78" s="152"/>
      <c r="D78" s="152"/>
      <c r="E78" s="152"/>
      <c r="F78" s="152"/>
    </row>
    <row r="79" spans="1:7">
      <c r="A79" s="152"/>
      <c r="B79" s="152"/>
      <c r="C79" s="152"/>
      <c r="D79" s="152"/>
      <c r="E79" s="152"/>
      <c r="F79" s="152"/>
    </row>
    <row r="80" spans="1:7">
      <c r="A80" s="152"/>
      <c r="B80" s="152"/>
      <c r="C80" s="152"/>
      <c r="D80" s="152"/>
      <c r="E80" s="152"/>
      <c r="F80" s="152"/>
    </row>
    <row r="81" spans="1:6">
      <c r="A81" s="152"/>
      <c r="B81" s="152"/>
      <c r="C81" s="152"/>
      <c r="D81" s="152"/>
      <c r="E81" s="152"/>
      <c r="F81" s="152"/>
    </row>
    <row r="83" spans="1:6">
      <c r="A83" s="127" t="s">
        <v>109</v>
      </c>
    </row>
    <row r="84" spans="1:6">
      <c r="A84" s="152" t="s">
        <v>853</v>
      </c>
      <c r="B84" s="152"/>
      <c r="C84" s="152"/>
      <c r="D84" s="152"/>
      <c r="E84" s="152"/>
      <c r="F84" s="152"/>
    </row>
    <row r="85" spans="1:6">
      <c r="A85" s="152"/>
      <c r="B85" s="152"/>
      <c r="C85" s="152"/>
      <c r="D85" s="152"/>
      <c r="E85" s="152"/>
      <c r="F85" s="152"/>
    </row>
    <row r="86" spans="1:6">
      <c r="A86" s="152"/>
      <c r="B86" s="152"/>
      <c r="C86" s="152"/>
      <c r="D86" s="152"/>
      <c r="E86" s="152"/>
      <c r="F86" s="152"/>
    </row>
    <row r="87" spans="1:6">
      <c r="A87" s="152"/>
      <c r="B87" s="152"/>
      <c r="C87" s="152"/>
      <c r="D87" s="152"/>
      <c r="E87" s="152"/>
      <c r="F87" s="152"/>
    </row>
    <row r="88" spans="1:6">
      <c r="A88" s="152"/>
      <c r="B88" s="152"/>
      <c r="C88" s="152"/>
      <c r="D88" s="152"/>
      <c r="E88" s="152"/>
      <c r="F88" s="152"/>
    </row>
    <row r="89" spans="1:6">
      <c r="A89" s="152"/>
      <c r="B89" s="152"/>
      <c r="C89" s="152"/>
      <c r="D89" s="152"/>
      <c r="E89" s="152"/>
      <c r="F89" s="152"/>
    </row>
    <row r="90" spans="1:6">
      <c r="A90" s="152"/>
      <c r="B90" s="152"/>
      <c r="C90" s="152"/>
      <c r="D90" s="152"/>
      <c r="E90" s="152"/>
      <c r="F90" s="152"/>
    </row>
    <row r="91" spans="1:6">
      <c r="A91" s="152"/>
      <c r="B91" s="152"/>
      <c r="C91" s="152"/>
      <c r="D91" s="152"/>
      <c r="E91" s="152"/>
      <c r="F91" s="152"/>
    </row>
    <row r="92" spans="1:6">
      <c r="A92" s="152"/>
      <c r="B92" s="152"/>
      <c r="C92" s="152"/>
      <c r="D92" s="152"/>
      <c r="E92" s="152"/>
      <c r="F92" s="152"/>
    </row>
    <row r="93" spans="1:6">
      <c r="A93" s="152"/>
      <c r="B93" s="152"/>
      <c r="C93" s="152"/>
      <c r="D93" s="152"/>
      <c r="E93" s="152"/>
      <c r="F93" s="152"/>
    </row>
    <row r="94" spans="1:6">
      <c r="A94" s="152"/>
      <c r="B94" s="152"/>
      <c r="C94" s="152"/>
      <c r="D94" s="152"/>
      <c r="E94" s="152"/>
      <c r="F94" s="152"/>
    </row>
    <row r="95" spans="1:6">
      <c r="A95" s="152"/>
      <c r="B95" s="152"/>
      <c r="C95" s="152"/>
      <c r="D95" s="152"/>
      <c r="E95" s="152"/>
      <c r="F95" s="152"/>
    </row>
    <row r="96" spans="1:6">
      <c r="A96" s="152"/>
      <c r="B96" s="152"/>
      <c r="C96" s="152"/>
      <c r="D96" s="152"/>
      <c r="E96" s="152"/>
      <c r="F96" s="152"/>
    </row>
    <row r="98" spans="1:6">
      <c r="A98" s="127" t="s">
        <v>111</v>
      </c>
    </row>
    <row r="99" spans="1:6">
      <c r="A99" s="96"/>
      <c r="B99" s="96"/>
      <c r="C99" s="156" t="s">
        <v>854</v>
      </c>
      <c r="D99" s="158"/>
    </row>
    <row r="100" spans="1:6">
      <c r="A100" s="96"/>
      <c r="B100" s="96"/>
      <c r="C100" s="133" t="s">
        <v>848</v>
      </c>
      <c r="D100" s="133" t="s">
        <v>849</v>
      </c>
    </row>
    <row r="101" spans="1:6">
      <c r="A101" s="156" t="s">
        <v>855</v>
      </c>
      <c r="B101" s="133" t="s">
        <v>848</v>
      </c>
      <c r="C101" s="133" t="s">
        <v>856</v>
      </c>
      <c r="D101" s="133" t="s">
        <v>858</v>
      </c>
    </row>
    <row r="102" spans="1:6">
      <c r="A102" s="157"/>
      <c r="B102" s="133" t="s">
        <v>849</v>
      </c>
      <c r="C102" s="133" t="s">
        <v>857</v>
      </c>
      <c r="D102" s="133" t="s">
        <v>859</v>
      </c>
    </row>
    <row r="103" spans="1:6" ht="15.75" thickBot="1">
      <c r="A103" s="96"/>
      <c r="B103" s="96"/>
      <c r="C103" s="96"/>
      <c r="D103" s="96"/>
    </row>
    <row r="104" spans="1:6" ht="30.75" customHeight="1">
      <c r="A104" s="134" t="s">
        <v>860</v>
      </c>
      <c r="B104" s="135"/>
      <c r="C104" s="135">
        <f>3/(3+0)</f>
        <v>1</v>
      </c>
      <c r="D104" s="136">
        <f>C104</f>
        <v>1</v>
      </c>
    </row>
    <row r="105" spans="1:6" ht="30.75" customHeight="1">
      <c r="A105" s="69" t="s">
        <v>861</v>
      </c>
      <c r="B105" s="133"/>
      <c r="C105" s="133">
        <f>2/(2+1)</f>
        <v>0.66666666666666663</v>
      </c>
      <c r="D105" s="137">
        <f t="shared" ref="D105:D106" si="0">C105</f>
        <v>0.66666666666666663</v>
      </c>
    </row>
    <row r="106" spans="1:6" ht="30.75" customHeight="1" thickBot="1">
      <c r="A106" s="71" t="s">
        <v>862</v>
      </c>
      <c r="B106" s="138"/>
      <c r="C106" s="138">
        <f>(3+2)/(3+2+1+0)</f>
        <v>0.83333333333333337</v>
      </c>
      <c r="D106" s="139">
        <f t="shared" si="0"/>
        <v>0.83333333333333337</v>
      </c>
    </row>
    <row r="107" spans="1:6">
      <c r="A107" s="96"/>
      <c r="B107" s="96"/>
      <c r="C107" s="96"/>
      <c r="D107" s="96"/>
    </row>
    <row r="108" spans="1:6">
      <c r="A108" s="152" t="s">
        <v>863</v>
      </c>
      <c r="B108" s="152"/>
      <c r="C108" s="152"/>
      <c r="D108" s="152"/>
      <c r="E108" s="152"/>
      <c r="F108" s="152"/>
    </row>
    <row r="109" spans="1:6">
      <c r="A109" s="152"/>
      <c r="B109" s="152"/>
      <c r="C109" s="152"/>
      <c r="D109" s="152"/>
      <c r="E109" s="152"/>
      <c r="F109" s="152"/>
    </row>
    <row r="110" spans="1:6">
      <c r="A110" s="152"/>
      <c r="B110" s="152"/>
      <c r="C110" s="152"/>
      <c r="D110" s="152"/>
      <c r="E110" s="152"/>
      <c r="F110" s="152"/>
    </row>
    <row r="111" spans="1:6">
      <c r="A111" s="152"/>
      <c r="B111" s="152"/>
      <c r="C111" s="152"/>
      <c r="D111" s="152"/>
      <c r="E111" s="152"/>
      <c r="F111" s="152"/>
    </row>
  </sheetData>
  <mergeCells count="6">
    <mergeCell ref="A108:F111"/>
    <mergeCell ref="A59:F69"/>
    <mergeCell ref="A77:F81"/>
    <mergeCell ref="A84:F96"/>
    <mergeCell ref="A101:A102"/>
    <mergeCell ref="C99:D99"/>
  </mergeCells>
  <pageMargins left="0.7" right="0.7" top="0.75" bottom="0.75" header="0.3" footer="0.3"/>
  <ignoredErrors>
    <ignoredError sqref="G72:G75" formulaRange="1"/>
  </ignoredErrors>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6C14B-BE2C-4681-AF36-736A0C777D17}">
  <dimension ref="A1:I1463"/>
  <sheetViews>
    <sheetView topLeftCell="A1441" workbookViewId="0">
      <selection activeCell="N1458" sqref="N1458"/>
    </sheetView>
  </sheetViews>
  <sheetFormatPr defaultRowHeight="15"/>
  <sheetData>
    <row r="1" spans="1:1">
      <c r="A1" s="127" t="s">
        <v>726</v>
      </c>
    </row>
    <row r="2" spans="1:1">
      <c r="A2" s="127" t="s">
        <v>864</v>
      </c>
    </row>
    <row r="4" spans="1:1">
      <c r="A4" t="s">
        <v>865</v>
      </c>
    </row>
    <row r="5" spans="1:1">
      <c r="A5" t="s">
        <v>866</v>
      </c>
    </row>
    <row r="6" spans="1:1" hidden="1">
      <c r="A6" t="s">
        <v>867</v>
      </c>
    </row>
    <row r="7" spans="1:1" hidden="1">
      <c r="A7" t="s">
        <v>868</v>
      </c>
    </row>
    <row r="8" spans="1:1" hidden="1">
      <c r="A8" t="s">
        <v>869</v>
      </c>
    </row>
    <row r="9" spans="1:1" hidden="1">
      <c r="A9" t="s">
        <v>870</v>
      </c>
    </row>
    <row r="10" spans="1:1" hidden="1">
      <c r="A10" t="s">
        <v>871</v>
      </c>
    </row>
    <row r="11" spans="1:1" hidden="1">
      <c r="A11" t="s">
        <v>872</v>
      </c>
    </row>
    <row r="12" spans="1:1" hidden="1">
      <c r="A12" t="s">
        <v>873</v>
      </c>
    </row>
    <row r="13" spans="1:1" hidden="1">
      <c r="A13" t="s">
        <v>874</v>
      </c>
    </row>
    <row r="14" spans="1:1" hidden="1">
      <c r="A14" t="s">
        <v>875</v>
      </c>
    </row>
    <row r="15" spans="1:1" hidden="1">
      <c r="A15" t="s">
        <v>876</v>
      </c>
    </row>
    <row r="16" spans="1:1" hidden="1">
      <c r="A16" t="s">
        <v>877</v>
      </c>
    </row>
    <row r="17" spans="1:1" hidden="1">
      <c r="A17" t="s">
        <v>878</v>
      </c>
    </row>
    <row r="18" spans="1:1" hidden="1">
      <c r="A18" t="s">
        <v>879</v>
      </c>
    </row>
    <row r="19" spans="1:1" hidden="1">
      <c r="A19" t="s">
        <v>880</v>
      </c>
    </row>
    <row r="20" spans="1:1" hidden="1">
      <c r="A20" t="s">
        <v>881</v>
      </c>
    </row>
    <row r="21" spans="1:1" hidden="1">
      <c r="A21" t="s">
        <v>882</v>
      </c>
    </row>
    <row r="22" spans="1:1" hidden="1">
      <c r="A22" t="s">
        <v>883</v>
      </c>
    </row>
    <row r="23" spans="1:1" hidden="1">
      <c r="A23" t="s">
        <v>884</v>
      </c>
    </row>
    <row r="24" spans="1:1" hidden="1">
      <c r="A24" t="s">
        <v>885</v>
      </c>
    </row>
    <row r="25" spans="1:1" hidden="1">
      <c r="A25" t="s">
        <v>886</v>
      </c>
    </row>
    <row r="26" spans="1:1" hidden="1">
      <c r="A26" t="s">
        <v>887</v>
      </c>
    </row>
    <row r="27" spans="1:1" hidden="1">
      <c r="A27" t="s">
        <v>888</v>
      </c>
    </row>
    <row r="28" spans="1:1" hidden="1">
      <c r="A28" t="s">
        <v>889</v>
      </c>
    </row>
    <row r="29" spans="1:1" hidden="1">
      <c r="A29" t="s">
        <v>890</v>
      </c>
    </row>
    <row r="30" spans="1:1" hidden="1">
      <c r="A30" t="s">
        <v>891</v>
      </c>
    </row>
    <row r="31" spans="1:1" hidden="1">
      <c r="A31" t="s">
        <v>892</v>
      </c>
    </row>
    <row r="32" spans="1:1" hidden="1">
      <c r="A32" t="s">
        <v>893</v>
      </c>
    </row>
    <row r="33" spans="1:1" hidden="1">
      <c r="A33" t="s">
        <v>894</v>
      </c>
    </row>
    <row r="34" spans="1:1" hidden="1">
      <c r="A34" t="s">
        <v>895</v>
      </c>
    </row>
    <row r="35" spans="1:1" hidden="1">
      <c r="A35" t="s">
        <v>896</v>
      </c>
    </row>
    <row r="36" spans="1:1" hidden="1">
      <c r="A36" t="s">
        <v>897</v>
      </c>
    </row>
    <row r="37" spans="1:1" hidden="1">
      <c r="A37" t="s">
        <v>898</v>
      </c>
    </row>
    <row r="38" spans="1:1" hidden="1">
      <c r="A38" t="s">
        <v>899</v>
      </c>
    </row>
    <row r="39" spans="1:1" hidden="1">
      <c r="A39" t="s">
        <v>900</v>
      </c>
    </row>
    <row r="40" spans="1:1" hidden="1">
      <c r="A40" t="s">
        <v>901</v>
      </c>
    </row>
    <row r="41" spans="1:1" hidden="1">
      <c r="A41" t="s">
        <v>902</v>
      </c>
    </row>
    <row r="42" spans="1:1" hidden="1">
      <c r="A42" t="s">
        <v>903</v>
      </c>
    </row>
    <row r="43" spans="1:1" hidden="1">
      <c r="A43" t="s">
        <v>904</v>
      </c>
    </row>
    <row r="44" spans="1:1" hidden="1">
      <c r="A44" t="s">
        <v>905</v>
      </c>
    </row>
    <row r="45" spans="1:1" hidden="1">
      <c r="A45" t="s">
        <v>906</v>
      </c>
    </row>
    <row r="46" spans="1:1" hidden="1">
      <c r="A46" t="s">
        <v>907</v>
      </c>
    </row>
    <row r="47" spans="1:1" hidden="1">
      <c r="A47" t="s">
        <v>908</v>
      </c>
    </row>
    <row r="48" spans="1:1" hidden="1">
      <c r="A48" t="s">
        <v>909</v>
      </c>
    </row>
    <row r="49" spans="1:1" hidden="1">
      <c r="A49" t="s">
        <v>910</v>
      </c>
    </row>
    <row r="50" spans="1:1" hidden="1">
      <c r="A50" t="s">
        <v>911</v>
      </c>
    </row>
    <row r="51" spans="1:1" hidden="1">
      <c r="A51" t="s">
        <v>912</v>
      </c>
    </row>
    <row r="52" spans="1:1" hidden="1">
      <c r="A52" t="s">
        <v>913</v>
      </c>
    </row>
    <row r="53" spans="1:1" hidden="1">
      <c r="A53" t="s">
        <v>914</v>
      </c>
    </row>
    <row r="54" spans="1:1" hidden="1">
      <c r="A54" t="s">
        <v>915</v>
      </c>
    </row>
    <row r="55" spans="1:1" hidden="1">
      <c r="A55" t="s">
        <v>916</v>
      </c>
    </row>
    <row r="56" spans="1:1" hidden="1">
      <c r="A56" t="s">
        <v>917</v>
      </c>
    </row>
    <row r="57" spans="1:1" hidden="1">
      <c r="A57" t="s">
        <v>918</v>
      </c>
    </row>
    <row r="58" spans="1:1" hidden="1">
      <c r="A58" t="s">
        <v>919</v>
      </c>
    </row>
    <row r="59" spans="1:1" hidden="1">
      <c r="A59" t="s">
        <v>920</v>
      </c>
    </row>
    <row r="60" spans="1:1" hidden="1">
      <c r="A60" t="s">
        <v>921</v>
      </c>
    </row>
    <row r="61" spans="1:1" hidden="1">
      <c r="A61" t="s">
        <v>922</v>
      </c>
    </row>
    <row r="62" spans="1:1" hidden="1">
      <c r="A62" t="s">
        <v>923</v>
      </c>
    </row>
    <row r="63" spans="1:1" hidden="1">
      <c r="A63" t="s">
        <v>924</v>
      </c>
    </row>
    <row r="64" spans="1:1" hidden="1">
      <c r="A64" t="s">
        <v>925</v>
      </c>
    </row>
    <row r="65" spans="1:1" hidden="1">
      <c r="A65" t="s">
        <v>926</v>
      </c>
    </row>
    <row r="66" spans="1:1" hidden="1">
      <c r="A66" t="s">
        <v>927</v>
      </c>
    </row>
    <row r="67" spans="1:1" hidden="1">
      <c r="A67" t="s">
        <v>928</v>
      </c>
    </row>
    <row r="68" spans="1:1" hidden="1">
      <c r="A68" t="s">
        <v>929</v>
      </c>
    </row>
    <row r="69" spans="1:1" hidden="1">
      <c r="A69" t="s">
        <v>930</v>
      </c>
    </row>
    <row r="70" spans="1:1" hidden="1">
      <c r="A70" t="s">
        <v>931</v>
      </c>
    </row>
    <row r="71" spans="1:1" hidden="1">
      <c r="A71" t="s">
        <v>932</v>
      </c>
    </row>
    <row r="72" spans="1:1" hidden="1">
      <c r="A72" t="s">
        <v>933</v>
      </c>
    </row>
    <row r="73" spans="1:1" hidden="1">
      <c r="A73" t="s">
        <v>934</v>
      </c>
    </row>
    <row r="74" spans="1:1" hidden="1">
      <c r="A74" t="s">
        <v>935</v>
      </c>
    </row>
    <row r="75" spans="1:1" hidden="1">
      <c r="A75" t="s">
        <v>936</v>
      </c>
    </row>
    <row r="76" spans="1:1" hidden="1">
      <c r="A76" t="s">
        <v>937</v>
      </c>
    </row>
    <row r="77" spans="1:1" hidden="1">
      <c r="A77" t="s">
        <v>938</v>
      </c>
    </row>
    <row r="78" spans="1:1" hidden="1">
      <c r="A78" t="s">
        <v>939</v>
      </c>
    </row>
    <row r="79" spans="1:1" hidden="1">
      <c r="A79" t="s">
        <v>940</v>
      </c>
    </row>
    <row r="80" spans="1:1" hidden="1">
      <c r="A80" t="s">
        <v>941</v>
      </c>
    </row>
    <row r="81" spans="1:1" hidden="1">
      <c r="A81" t="s">
        <v>942</v>
      </c>
    </row>
    <row r="82" spans="1:1" hidden="1">
      <c r="A82" t="s">
        <v>943</v>
      </c>
    </row>
    <row r="83" spans="1:1" hidden="1">
      <c r="A83" t="s">
        <v>944</v>
      </c>
    </row>
    <row r="84" spans="1:1" hidden="1">
      <c r="A84" t="s">
        <v>945</v>
      </c>
    </row>
    <row r="85" spans="1:1" hidden="1">
      <c r="A85" t="s">
        <v>946</v>
      </c>
    </row>
    <row r="86" spans="1:1" hidden="1">
      <c r="A86" t="s">
        <v>947</v>
      </c>
    </row>
    <row r="87" spans="1:1" hidden="1">
      <c r="A87" t="s">
        <v>948</v>
      </c>
    </row>
    <row r="88" spans="1:1" hidden="1">
      <c r="A88" t="s">
        <v>949</v>
      </c>
    </row>
    <row r="89" spans="1:1" hidden="1">
      <c r="A89" t="s">
        <v>950</v>
      </c>
    </row>
    <row r="90" spans="1:1" hidden="1">
      <c r="A90" t="s">
        <v>951</v>
      </c>
    </row>
    <row r="91" spans="1:1" hidden="1">
      <c r="A91" t="s">
        <v>952</v>
      </c>
    </row>
    <row r="92" spans="1:1" hidden="1">
      <c r="A92" t="s">
        <v>953</v>
      </c>
    </row>
    <row r="93" spans="1:1" hidden="1">
      <c r="A93" t="s">
        <v>954</v>
      </c>
    </row>
    <row r="94" spans="1:1" hidden="1">
      <c r="A94" t="s">
        <v>955</v>
      </c>
    </row>
    <row r="95" spans="1:1" hidden="1">
      <c r="A95" t="s">
        <v>956</v>
      </c>
    </row>
    <row r="96" spans="1:1" hidden="1">
      <c r="A96" t="s">
        <v>957</v>
      </c>
    </row>
    <row r="97" spans="1:1" hidden="1">
      <c r="A97" t="s">
        <v>958</v>
      </c>
    </row>
    <row r="98" spans="1:1" hidden="1">
      <c r="A98" t="s">
        <v>959</v>
      </c>
    </row>
    <row r="99" spans="1:1" hidden="1">
      <c r="A99" t="s">
        <v>960</v>
      </c>
    </row>
    <row r="100" spans="1:1" hidden="1">
      <c r="A100" t="s">
        <v>961</v>
      </c>
    </row>
    <row r="101" spans="1:1" hidden="1">
      <c r="A101" t="s">
        <v>962</v>
      </c>
    </row>
    <row r="102" spans="1:1" hidden="1">
      <c r="A102" t="s">
        <v>963</v>
      </c>
    </row>
    <row r="103" spans="1:1" hidden="1">
      <c r="A103" t="s">
        <v>964</v>
      </c>
    </row>
    <row r="104" spans="1:1" hidden="1">
      <c r="A104" t="s">
        <v>965</v>
      </c>
    </row>
    <row r="105" spans="1:1" hidden="1">
      <c r="A105" t="s">
        <v>966</v>
      </c>
    </row>
    <row r="106" spans="1:1" hidden="1">
      <c r="A106" t="s">
        <v>967</v>
      </c>
    </row>
    <row r="107" spans="1:1" hidden="1">
      <c r="A107" t="s">
        <v>968</v>
      </c>
    </row>
    <row r="108" spans="1:1" hidden="1">
      <c r="A108" t="s">
        <v>969</v>
      </c>
    </row>
    <row r="109" spans="1:1" hidden="1">
      <c r="A109" t="s">
        <v>970</v>
      </c>
    </row>
    <row r="110" spans="1:1" hidden="1">
      <c r="A110" t="s">
        <v>971</v>
      </c>
    </row>
    <row r="111" spans="1:1" hidden="1">
      <c r="A111" t="s">
        <v>972</v>
      </c>
    </row>
    <row r="112" spans="1:1" hidden="1">
      <c r="A112" t="s">
        <v>973</v>
      </c>
    </row>
    <row r="113" spans="1:1" hidden="1">
      <c r="A113" t="s">
        <v>974</v>
      </c>
    </row>
    <row r="114" spans="1:1" hidden="1">
      <c r="A114" t="s">
        <v>975</v>
      </c>
    </row>
    <row r="115" spans="1:1" hidden="1">
      <c r="A115" t="s">
        <v>976</v>
      </c>
    </row>
    <row r="116" spans="1:1" hidden="1">
      <c r="A116" t="s">
        <v>977</v>
      </c>
    </row>
    <row r="117" spans="1:1" hidden="1">
      <c r="A117" t="s">
        <v>978</v>
      </c>
    </row>
    <row r="118" spans="1:1" hidden="1">
      <c r="A118" t="s">
        <v>978</v>
      </c>
    </row>
    <row r="119" spans="1:1" hidden="1">
      <c r="A119" t="s">
        <v>979</v>
      </c>
    </row>
    <row r="120" spans="1:1" hidden="1">
      <c r="A120" t="s">
        <v>980</v>
      </c>
    </row>
    <row r="121" spans="1:1" hidden="1">
      <c r="A121" t="s">
        <v>981</v>
      </c>
    </row>
    <row r="122" spans="1:1" hidden="1">
      <c r="A122" t="s">
        <v>982</v>
      </c>
    </row>
    <row r="123" spans="1:1" hidden="1">
      <c r="A123" t="s">
        <v>983</v>
      </c>
    </row>
    <row r="124" spans="1:1" hidden="1">
      <c r="A124" t="s">
        <v>984</v>
      </c>
    </row>
    <row r="125" spans="1:1" hidden="1">
      <c r="A125" t="s">
        <v>985</v>
      </c>
    </row>
    <row r="126" spans="1:1" hidden="1">
      <c r="A126" t="s">
        <v>986</v>
      </c>
    </row>
    <row r="127" spans="1:1" hidden="1">
      <c r="A127" t="s">
        <v>987</v>
      </c>
    </row>
    <row r="128" spans="1:1" hidden="1">
      <c r="A128" t="s">
        <v>988</v>
      </c>
    </row>
    <row r="129" spans="1:1" hidden="1">
      <c r="A129" t="s">
        <v>989</v>
      </c>
    </row>
    <row r="130" spans="1:1" hidden="1">
      <c r="A130" t="s">
        <v>990</v>
      </c>
    </row>
    <row r="131" spans="1:1" hidden="1">
      <c r="A131" t="s">
        <v>991</v>
      </c>
    </row>
    <row r="132" spans="1:1" hidden="1">
      <c r="A132" t="s">
        <v>992</v>
      </c>
    </row>
    <row r="133" spans="1:1" hidden="1">
      <c r="A133" t="s">
        <v>993</v>
      </c>
    </row>
    <row r="134" spans="1:1" hidden="1">
      <c r="A134" t="s">
        <v>994</v>
      </c>
    </row>
    <row r="135" spans="1:1" hidden="1">
      <c r="A135" t="s">
        <v>995</v>
      </c>
    </row>
    <row r="136" spans="1:1" hidden="1">
      <c r="A136" t="s">
        <v>996</v>
      </c>
    </row>
    <row r="137" spans="1:1" hidden="1">
      <c r="A137" t="s">
        <v>997</v>
      </c>
    </row>
    <row r="138" spans="1:1" hidden="1">
      <c r="A138" t="s">
        <v>998</v>
      </c>
    </row>
    <row r="139" spans="1:1" hidden="1">
      <c r="A139" t="s">
        <v>999</v>
      </c>
    </row>
    <row r="140" spans="1:1" hidden="1">
      <c r="A140" t="s">
        <v>1000</v>
      </c>
    </row>
    <row r="141" spans="1:1" hidden="1">
      <c r="A141" t="s">
        <v>1001</v>
      </c>
    </row>
    <row r="142" spans="1:1" hidden="1">
      <c r="A142" t="s">
        <v>1002</v>
      </c>
    </row>
    <row r="143" spans="1:1" hidden="1">
      <c r="A143" t="s">
        <v>1003</v>
      </c>
    </row>
    <row r="144" spans="1:1" hidden="1">
      <c r="A144" t="s">
        <v>1004</v>
      </c>
    </row>
    <row r="145" spans="1:1" hidden="1">
      <c r="A145" t="s">
        <v>1005</v>
      </c>
    </row>
    <row r="146" spans="1:1" hidden="1">
      <c r="A146" t="s">
        <v>1006</v>
      </c>
    </row>
    <row r="147" spans="1:1" hidden="1">
      <c r="A147" t="s">
        <v>1007</v>
      </c>
    </row>
    <row r="148" spans="1:1" hidden="1">
      <c r="A148" t="s">
        <v>1008</v>
      </c>
    </row>
    <row r="149" spans="1:1" hidden="1">
      <c r="A149" t="s">
        <v>1009</v>
      </c>
    </row>
    <row r="150" spans="1:1" hidden="1">
      <c r="A150" t="s">
        <v>1010</v>
      </c>
    </row>
    <row r="151" spans="1:1" hidden="1">
      <c r="A151" t="s">
        <v>1011</v>
      </c>
    </row>
    <row r="152" spans="1:1" hidden="1">
      <c r="A152" t="s">
        <v>1012</v>
      </c>
    </row>
    <row r="153" spans="1:1" hidden="1">
      <c r="A153" t="s">
        <v>1013</v>
      </c>
    </row>
    <row r="154" spans="1:1" hidden="1">
      <c r="A154" t="s">
        <v>1014</v>
      </c>
    </row>
    <row r="155" spans="1:1" hidden="1">
      <c r="A155" t="s">
        <v>1015</v>
      </c>
    </row>
    <row r="156" spans="1:1" hidden="1">
      <c r="A156" t="s">
        <v>1016</v>
      </c>
    </row>
    <row r="157" spans="1:1" hidden="1">
      <c r="A157" t="s">
        <v>1017</v>
      </c>
    </row>
    <row r="158" spans="1:1" hidden="1">
      <c r="A158" t="s">
        <v>1018</v>
      </c>
    </row>
    <row r="159" spans="1:1" hidden="1">
      <c r="A159" t="s">
        <v>1019</v>
      </c>
    </row>
    <row r="160" spans="1:1" hidden="1">
      <c r="A160" t="s">
        <v>1020</v>
      </c>
    </row>
    <row r="161" spans="1:1" hidden="1">
      <c r="A161" t="s">
        <v>1021</v>
      </c>
    </row>
    <row r="162" spans="1:1" hidden="1">
      <c r="A162" t="s">
        <v>1022</v>
      </c>
    </row>
    <row r="163" spans="1:1" hidden="1">
      <c r="A163" t="s">
        <v>1023</v>
      </c>
    </row>
    <row r="164" spans="1:1" hidden="1">
      <c r="A164" t="s">
        <v>1024</v>
      </c>
    </row>
    <row r="165" spans="1:1" hidden="1">
      <c r="A165" t="s">
        <v>1025</v>
      </c>
    </row>
    <row r="166" spans="1:1" hidden="1">
      <c r="A166" t="s">
        <v>1026</v>
      </c>
    </row>
    <row r="167" spans="1:1" hidden="1">
      <c r="A167" t="s">
        <v>1027</v>
      </c>
    </row>
    <row r="168" spans="1:1" hidden="1">
      <c r="A168" t="s">
        <v>1028</v>
      </c>
    </row>
    <row r="169" spans="1:1" hidden="1">
      <c r="A169" t="s">
        <v>1029</v>
      </c>
    </row>
    <row r="170" spans="1:1" hidden="1">
      <c r="A170" t="s">
        <v>1030</v>
      </c>
    </row>
    <row r="171" spans="1:1" hidden="1">
      <c r="A171" t="s">
        <v>1031</v>
      </c>
    </row>
    <row r="172" spans="1:1" hidden="1">
      <c r="A172" t="s">
        <v>1032</v>
      </c>
    </row>
    <row r="173" spans="1:1" hidden="1">
      <c r="A173" t="s">
        <v>1033</v>
      </c>
    </row>
    <row r="174" spans="1:1" hidden="1">
      <c r="A174" t="s">
        <v>1034</v>
      </c>
    </row>
    <row r="175" spans="1:1" hidden="1">
      <c r="A175" t="s">
        <v>1035</v>
      </c>
    </row>
    <row r="176" spans="1:1" hidden="1">
      <c r="A176" t="s">
        <v>1036</v>
      </c>
    </row>
    <row r="177" spans="1:1" hidden="1">
      <c r="A177" t="s">
        <v>1037</v>
      </c>
    </row>
    <row r="178" spans="1:1" hidden="1">
      <c r="A178" t="s">
        <v>1038</v>
      </c>
    </row>
    <row r="179" spans="1:1" hidden="1">
      <c r="A179" t="s">
        <v>1039</v>
      </c>
    </row>
    <row r="180" spans="1:1" hidden="1">
      <c r="A180" t="s">
        <v>1040</v>
      </c>
    </row>
    <row r="181" spans="1:1" hidden="1">
      <c r="A181" t="s">
        <v>1041</v>
      </c>
    </row>
    <row r="182" spans="1:1" hidden="1">
      <c r="A182" t="s">
        <v>1042</v>
      </c>
    </row>
    <row r="183" spans="1:1" hidden="1">
      <c r="A183" t="s">
        <v>1043</v>
      </c>
    </row>
    <row r="184" spans="1:1" hidden="1">
      <c r="A184" t="s">
        <v>1044</v>
      </c>
    </row>
    <row r="185" spans="1:1" hidden="1">
      <c r="A185" t="s">
        <v>1045</v>
      </c>
    </row>
    <row r="186" spans="1:1" hidden="1">
      <c r="A186" t="s">
        <v>1046</v>
      </c>
    </row>
    <row r="187" spans="1:1" hidden="1">
      <c r="A187" t="s">
        <v>1047</v>
      </c>
    </row>
    <row r="188" spans="1:1" hidden="1">
      <c r="A188" t="s">
        <v>1048</v>
      </c>
    </row>
    <row r="189" spans="1:1" hidden="1">
      <c r="A189" t="s">
        <v>1049</v>
      </c>
    </row>
    <row r="190" spans="1:1" hidden="1">
      <c r="A190" t="s">
        <v>1050</v>
      </c>
    </row>
    <row r="191" spans="1:1" hidden="1">
      <c r="A191" t="s">
        <v>1051</v>
      </c>
    </row>
    <row r="192" spans="1:1" hidden="1">
      <c r="A192" t="s">
        <v>1052</v>
      </c>
    </row>
    <row r="193" spans="1:1" hidden="1">
      <c r="A193" t="s">
        <v>1053</v>
      </c>
    </row>
    <row r="194" spans="1:1" hidden="1">
      <c r="A194" t="s">
        <v>1054</v>
      </c>
    </row>
    <row r="195" spans="1:1" hidden="1">
      <c r="A195" t="s">
        <v>1055</v>
      </c>
    </row>
    <row r="196" spans="1:1" hidden="1">
      <c r="A196" t="s">
        <v>1056</v>
      </c>
    </row>
    <row r="197" spans="1:1" hidden="1">
      <c r="A197" t="s">
        <v>1057</v>
      </c>
    </row>
    <row r="198" spans="1:1" hidden="1">
      <c r="A198" t="s">
        <v>1058</v>
      </c>
    </row>
    <row r="199" spans="1:1" hidden="1">
      <c r="A199" t="s">
        <v>1059</v>
      </c>
    </row>
    <row r="200" spans="1:1" hidden="1">
      <c r="A200" t="s">
        <v>1060</v>
      </c>
    </row>
    <row r="201" spans="1:1" hidden="1">
      <c r="A201" t="s">
        <v>1061</v>
      </c>
    </row>
    <row r="202" spans="1:1" hidden="1">
      <c r="A202" t="s">
        <v>1062</v>
      </c>
    </row>
    <row r="203" spans="1:1" hidden="1">
      <c r="A203" t="s">
        <v>1063</v>
      </c>
    </row>
    <row r="204" spans="1:1" hidden="1">
      <c r="A204" t="s">
        <v>1064</v>
      </c>
    </row>
    <row r="205" spans="1:1" hidden="1">
      <c r="A205" t="s">
        <v>1065</v>
      </c>
    </row>
    <row r="206" spans="1:1" hidden="1">
      <c r="A206" t="s">
        <v>1066</v>
      </c>
    </row>
    <row r="207" spans="1:1" hidden="1">
      <c r="A207" t="s">
        <v>1067</v>
      </c>
    </row>
    <row r="208" spans="1:1" hidden="1">
      <c r="A208" t="s">
        <v>1068</v>
      </c>
    </row>
    <row r="209" spans="1:1" hidden="1">
      <c r="A209" t="s">
        <v>1069</v>
      </c>
    </row>
    <row r="210" spans="1:1" hidden="1">
      <c r="A210" t="s">
        <v>1070</v>
      </c>
    </row>
    <row r="211" spans="1:1" hidden="1">
      <c r="A211" t="s">
        <v>1071</v>
      </c>
    </row>
    <row r="212" spans="1:1" hidden="1">
      <c r="A212" t="s">
        <v>1072</v>
      </c>
    </row>
    <row r="213" spans="1:1" hidden="1">
      <c r="A213" t="s">
        <v>1073</v>
      </c>
    </row>
    <row r="214" spans="1:1" hidden="1">
      <c r="A214" t="s">
        <v>1074</v>
      </c>
    </row>
    <row r="215" spans="1:1" hidden="1">
      <c r="A215" t="s">
        <v>1075</v>
      </c>
    </row>
    <row r="216" spans="1:1" hidden="1">
      <c r="A216" t="s">
        <v>1076</v>
      </c>
    </row>
    <row r="217" spans="1:1" hidden="1">
      <c r="A217" t="s">
        <v>1077</v>
      </c>
    </row>
    <row r="218" spans="1:1" hidden="1">
      <c r="A218" t="s">
        <v>1078</v>
      </c>
    </row>
    <row r="219" spans="1:1" hidden="1">
      <c r="A219" t="s">
        <v>1079</v>
      </c>
    </row>
    <row r="220" spans="1:1" hidden="1">
      <c r="A220" t="s">
        <v>1080</v>
      </c>
    </row>
    <row r="221" spans="1:1" hidden="1">
      <c r="A221" t="s">
        <v>1081</v>
      </c>
    </row>
    <row r="222" spans="1:1" hidden="1">
      <c r="A222" t="s">
        <v>1082</v>
      </c>
    </row>
    <row r="223" spans="1:1" hidden="1">
      <c r="A223" t="s">
        <v>1083</v>
      </c>
    </row>
    <row r="224" spans="1:1" hidden="1">
      <c r="A224" t="s">
        <v>1084</v>
      </c>
    </row>
    <row r="225" spans="1:1" hidden="1">
      <c r="A225" t="s">
        <v>1085</v>
      </c>
    </row>
    <row r="226" spans="1:1" hidden="1">
      <c r="A226" t="s">
        <v>1086</v>
      </c>
    </row>
    <row r="227" spans="1:1" hidden="1">
      <c r="A227" t="s">
        <v>1087</v>
      </c>
    </row>
    <row r="228" spans="1:1" hidden="1">
      <c r="A228" t="s">
        <v>1088</v>
      </c>
    </row>
    <row r="229" spans="1:1" hidden="1">
      <c r="A229" t="s">
        <v>1089</v>
      </c>
    </row>
    <row r="230" spans="1:1" hidden="1">
      <c r="A230" t="s">
        <v>1090</v>
      </c>
    </row>
    <row r="231" spans="1:1" hidden="1">
      <c r="A231" t="s">
        <v>1091</v>
      </c>
    </row>
    <row r="232" spans="1:1" hidden="1">
      <c r="A232" t="s">
        <v>1092</v>
      </c>
    </row>
    <row r="233" spans="1:1" hidden="1">
      <c r="A233" t="s">
        <v>1093</v>
      </c>
    </row>
    <row r="234" spans="1:1" hidden="1">
      <c r="A234" t="s">
        <v>1094</v>
      </c>
    </row>
    <row r="235" spans="1:1" hidden="1">
      <c r="A235" t="s">
        <v>1095</v>
      </c>
    </row>
    <row r="236" spans="1:1" hidden="1">
      <c r="A236" t="s">
        <v>1096</v>
      </c>
    </row>
    <row r="237" spans="1:1" hidden="1">
      <c r="A237" t="s">
        <v>1097</v>
      </c>
    </row>
    <row r="238" spans="1:1" hidden="1">
      <c r="A238" t="s">
        <v>1098</v>
      </c>
    </row>
    <row r="239" spans="1:1" hidden="1">
      <c r="A239" t="s">
        <v>1099</v>
      </c>
    </row>
    <row r="240" spans="1:1" hidden="1">
      <c r="A240" t="s">
        <v>1100</v>
      </c>
    </row>
    <row r="241" spans="1:1" hidden="1">
      <c r="A241" t="s">
        <v>1101</v>
      </c>
    </row>
    <row r="242" spans="1:1" hidden="1">
      <c r="A242" t="s">
        <v>1102</v>
      </c>
    </row>
    <row r="243" spans="1:1" hidden="1">
      <c r="A243" t="s">
        <v>1103</v>
      </c>
    </row>
    <row r="244" spans="1:1" hidden="1">
      <c r="A244" t="s">
        <v>1104</v>
      </c>
    </row>
    <row r="245" spans="1:1" hidden="1">
      <c r="A245" t="s">
        <v>1105</v>
      </c>
    </row>
    <row r="246" spans="1:1" hidden="1">
      <c r="A246" t="s">
        <v>1106</v>
      </c>
    </row>
    <row r="247" spans="1:1" hidden="1">
      <c r="A247" t="s">
        <v>1107</v>
      </c>
    </row>
    <row r="248" spans="1:1" hidden="1">
      <c r="A248" t="s">
        <v>1108</v>
      </c>
    </row>
    <row r="249" spans="1:1" hidden="1">
      <c r="A249" t="s">
        <v>1109</v>
      </c>
    </row>
    <row r="250" spans="1:1" hidden="1">
      <c r="A250" t="s">
        <v>1110</v>
      </c>
    </row>
    <row r="251" spans="1:1" hidden="1">
      <c r="A251" t="s">
        <v>1111</v>
      </c>
    </row>
    <row r="252" spans="1:1" hidden="1">
      <c r="A252" t="s">
        <v>1112</v>
      </c>
    </row>
    <row r="253" spans="1:1" hidden="1">
      <c r="A253" t="s">
        <v>1113</v>
      </c>
    </row>
    <row r="254" spans="1:1" hidden="1">
      <c r="A254" t="s">
        <v>1114</v>
      </c>
    </row>
    <row r="255" spans="1:1" hidden="1">
      <c r="A255" t="s">
        <v>1115</v>
      </c>
    </row>
    <row r="256" spans="1:1" hidden="1">
      <c r="A256" t="s">
        <v>1116</v>
      </c>
    </row>
    <row r="257" spans="1:1" hidden="1">
      <c r="A257" t="s">
        <v>1117</v>
      </c>
    </row>
    <row r="258" spans="1:1" hidden="1">
      <c r="A258" t="s">
        <v>1118</v>
      </c>
    </row>
    <row r="259" spans="1:1" hidden="1">
      <c r="A259" t="s">
        <v>1119</v>
      </c>
    </row>
    <row r="260" spans="1:1" hidden="1">
      <c r="A260" t="s">
        <v>1120</v>
      </c>
    </row>
    <row r="261" spans="1:1" hidden="1">
      <c r="A261" t="s">
        <v>1121</v>
      </c>
    </row>
    <row r="262" spans="1:1" hidden="1">
      <c r="A262" t="s">
        <v>1122</v>
      </c>
    </row>
    <row r="263" spans="1:1" hidden="1">
      <c r="A263" t="s">
        <v>1123</v>
      </c>
    </row>
    <row r="264" spans="1:1" hidden="1">
      <c r="A264" t="s">
        <v>1124</v>
      </c>
    </row>
    <row r="265" spans="1:1" hidden="1">
      <c r="A265" t="s">
        <v>1125</v>
      </c>
    </row>
    <row r="266" spans="1:1" hidden="1">
      <c r="A266" t="s">
        <v>1126</v>
      </c>
    </row>
    <row r="267" spans="1:1" hidden="1">
      <c r="A267" t="s">
        <v>1127</v>
      </c>
    </row>
    <row r="268" spans="1:1" hidden="1">
      <c r="A268" t="s">
        <v>1128</v>
      </c>
    </row>
    <row r="269" spans="1:1" hidden="1">
      <c r="A269" t="s">
        <v>1129</v>
      </c>
    </row>
    <row r="270" spans="1:1" hidden="1">
      <c r="A270" t="s">
        <v>1130</v>
      </c>
    </row>
    <row r="271" spans="1:1" hidden="1">
      <c r="A271" t="s">
        <v>1131</v>
      </c>
    </row>
    <row r="272" spans="1:1" hidden="1">
      <c r="A272" t="s">
        <v>1132</v>
      </c>
    </row>
    <row r="273" spans="1:1" hidden="1">
      <c r="A273" t="s">
        <v>1133</v>
      </c>
    </row>
    <row r="274" spans="1:1" hidden="1">
      <c r="A274" t="s">
        <v>1134</v>
      </c>
    </row>
    <row r="275" spans="1:1" hidden="1">
      <c r="A275" t="s">
        <v>1135</v>
      </c>
    </row>
    <row r="276" spans="1:1" hidden="1">
      <c r="A276" t="s">
        <v>1136</v>
      </c>
    </row>
    <row r="277" spans="1:1" hidden="1">
      <c r="A277" t="s">
        <v>1137</v>
      </c>
    </row>
    <row r="278" spans="1:1" hidden="1">
      <c r="A278" t="s">
        <v>1138</v>
      </c>
    </row>
    <row r="279" spans="1:1" hidden="1">
      <c r="A279" t="s">
        <v>1139</v>
      </c>
    </row>
    <row r="280" spans="1:1" hidden="1">
      <c r="A280" t="s">
        <v>1140</v>
      </c>
    </row>
    <row r="281" spans="1:1" hidden="1">
      <c r="A281" t="s">
        <v>1141</v>
      </c>
    </row>
    <row r="282" spans="1:1" hidden="1">
      <c r="A282" t="s">
        <v>1142</v>
      </c>
    </row>
    <row r="283" spans="1:1" hidden="1">
      <c r="A283" t="s">
        <v>1143</v>
      </c>
    </row>
    <row r="284" spans="1:1" hidden="1">
      <c r="A284" t="s">
        <v>1144</v>
      </c>
    </row>
    <row r="285" spans="1:1" hidden="1">
      <c r="A285" t="s">
        <v>1145</v>
      </c>
    </row>
    <row r="286" spans="1:1" hidden="1">
      <c r="A286" t="s">
        <v>1146</v>
      </c>
    </row>
    <row r="287" spans="1:1" hidden="1">
      <c r="A287" t="s">
        <v>1147</v>
      </c>
    </row>
    <row r="288" spans="1:1" hidden="1">
      <c r="A288" t="s">
        <v>1148</v>
      </c>
    </row>
    <row r="289" spans="1:1" hidden="1">
      <c r="A289" t="s">
        <v>1149</v>
      </c>
    </row>
    <row r="290" spans="1:1" hidden="1">
      <c r="A290" t="s">
        <v>1150</v>
      </c>
    </row>
    <row r="291" spans="1:1" hidden="1">
      <c r="A291" t="s">
        <v>1151</v>
      </c>
    </row>
    <row r="292" spans="1:1" hidden="1">
      <c r="A292" t="s">
        <v>1152</v>
      </c>
    </row>
    <row r="293" spans="1:1" hidden="1">
      <c r="A293" t="s">
        <v>1153</v>
      </c>
    </row>
    <row r="294" spans="1:1" hidden="1">
      <c r="A294" t="s">
        <v>1154</v>
      </c>
    </row>
    <row r="295" spans="1:1" hidden="1">
      <c r="A295" t="s">
        <v>1155</v>
      </c>
    </row>
    <row r="296" spans="1:1" hidden="1">
      <c r="A296" t="s">
        <v>1156</v>
      </c>
    </row>
    <row r="297" spans="1:1" hidden="1">
      <c r="A297" t="s">
        <v>1157</v>
      </c>
    </row>
    <row r="298" spans="1:1" hidden="1">
      <c r="A298" t="s">
        <v>1158</v>
      </c>
    </row>
    <row r="299" spans="1:1" hidden="1">
      <c r="A299" t="s">
        <v>1159</v>
      </c>
    </row>
    <row r="300" spans="1:1" hidden="1">
      <c r="A300" t="s">
        <v>1160</v>
      </c>
    </row>
    <row r="301" spans="1:1" hidden="1">
      <c r="A301" t="s">
        <v>1161</v>
      </c>
    </row>
    <row r="302" spans="1:1" hidden="1">
      <c r="A302" t="s">
        <v>1162</v>
      </c>
    </row>
    <row r="303" spans="1:1" hidden="1">
      <c r="A303" t="s">
        <v>1163</v>
      </c>
    </row>
    <row r="304" spans="1:1" hidden="1">
      <c r="A304" t="s">
        <v>1164</v>
      </c>
    </row>
    <row r="305" spans="1:1" hidden="1">
      <c r="A305" t="s">
        <v>1165</v>
      </c>
    </row>
    <row r="306" spans="1:1" hidden="1">
      <c r="A306" t="s">
        <v>1166</v>
      </c>
    </row>
    <row r="307" spans="1:1" hidden="1">
      <c r="A307" t="s">
        <v>1167</v>
      </c>
    </row>
    <row r="308" spans="1:1" hidden="1">
      <c r="A308" t="s">
        <v>1168</v>
      </c>
    </row>
    <row r="309" spans="1:1" hidden="1">
      <c r="A309" t="s">
        <v>1169</v>
      </c>
    </row>
    <row r="310" spans="1:1" hidden="1">
      <c r="A310" t="s">
        <v>1170</v>
      </c>
    </row>
    <row r="311" spans="1:1" hidden="1">
      <c r="A311" t="s">
        <v>1171</v>
      </c>
    </row>
    <row r="312" spans="1:1" hidden="1">
      <c r="A312" t="s">
        <v>1172</v>
      </c>
    </row>
    <row r="313" spans="1:1" hidden="1">
      <c r="A313" t="s">
        <v>1173</v>
      </c>
    </row>
    <row r="314" spans="1:1" hidden="1">
      <c r="A314" t="s">
        <v>1174</v>
      </c>
    </row>
    <row r="315" spans="1:1" hidden="1">
      <c r="A315" t="s">
        <v>1175</v>
      </c>
    </row>
    <row r="316" spans="1:1" hidden="1">
      <c r="A316" t="s">
        <v>1176</v>
      </c>
    </row>
    <row r="317" spans="1:1" hidden="1">
      <c r="A317" t="s">
        <v>1177</v>
      </c>
    </row>
    <row r="318" spans="1:1" hidden="1">
      <c r="A318" t="s">
        <v>1178</v>
      </c>
    </row>
    <row r="319" spans="1:1" hidden="1">
      <c r="A319" t="s">
        <v>1179</v>
      </c>
    </row>
    <row r="320" spans="1:1" hidden="1">
      <c r="A320" t="s">
        <v>1180</v>
      </c>
    </row>
    <row r="321" spans="1:1" hidden="1">
      <c r="A321" t="s">
        <v>1181</v>
      </c>
    </row>
    <row r="322" spans="1:1" hidden="1">
      <c r="A322" t="s">
        <v>1182</v>
      </c>
    </row>
    <row r="323" spans="1:1" hidden="1">
      <c r="A323" t="s">
        <v>1183</v>
      </c>
    </row>
    <row r="324" spans="1:1" hidden="1">
      <c r="A324" t="s">
        <v>1184</v>
      </c>
    </row>
    <row r="325" spans="1:1" hidden="1">
      <c r="A325" t="s">
        <v>1185</v>
      </c>
    </row>
    <row r="326" spans="1:1" hidden="1">
      <c r="A326" t="s">
        <v>1186</v>
      </c>
    </row>
    <row r="327" spans="1:1" hidden="1">
      <c r="A327" t="s">
        <v>1187</v>
      </c>
    </row>
    <row r="328" spans="1:1" hidden="1">
      <c r="A328" t="s">
        <v>1188</v>
      </c>
    </row>
    <row r="329" spans="1:1" hidden="1">
      <c r="A329" t="s">
        <v>1189</v>
      </c>
    </row>
    <row r="330" spans="1:1" hidden="1">
      <c r="A330" t="s">
        <v>1190</v>
      </c>
    </row>
    <row r="331" spans="1:1" hidden="1">
      <c r="A331" t="s">
        <v>1191</v>
      </c>
    </row>
    <row r="332" spans="1:1" hidden="1">
      <c r="A332" t="s">
        <v>1192</v>
      </c>
    </row>
    <row r="333" spans="1:1" hidden="1">
      <c r="A333" t="s">
        <v>1193</v>
      </c>
    </row>
    <row r="334" spans="1:1" hidden="1">
      <c r="A334" t="s">
        <v>1194</v>
      </c>
    </row>
    <row r="335" spans="1:1" hidden="1">
      <c r="A335" t="s">
        <v>1195</v>
      </c>
    </row>
    <row r="336" spans="1:1" hidden="1">
      <c r="A336" t="s">
        <v>1196</v>
      </c>
    </row>
    <row r="337" spans="1:1" hidden="1">
      <c r="A337" t="s">
        <v>1197</v>
      </c>
    </row>
    <row r="338" spans="1:1" hidden="1">
      <c r="A338" t="s">
        <v>1198</v>
      </c>
    </row>
    <row r="339" spans="1:1" hidden="1">
      <c r="A339" t="s">
        <v>1199</v>
      </c>
    </row>
    <row r="340" spans="1:1" hidden="1">
      <c r="A340" t="s">
        <v>1200</v>
      </c>
    </row>
    <row r="341" spans="1:1" hidden="1">
      <c r="A341" t="s">
        <v>1201</v>
      </c>
    </row>
    <row r="342" spans="1:1" hidden="1">
      <c r="A342" t="s">
        <v>1202</v>
      </c>
    </row>
    <row r="343" spans="1:1" hidden="1">
      <c r="A343" t="s">
        <v>1203</v>
      </c>
    </row>
    <row r="344" spans="1:1" hidden="1">
      <c r="A344" t="s">
        <v>1204</v>
      </c>
    </row>
    <row r="345" spans="1:1" hidden="1">
      <c r="A345" t="s">
        <v>1205</v>
      </c>
    </row>
    <row r="346" spans="1:1" hidden="1">
      <c r="A346" t="s">
        <v>1206</v>
      </c>
    </row>
    <row r="347" spans="1:1" hidden="1">
      <c r="A347" t="s">
        <v>1207</v>
      </c>
    </row>
    <row r="348" spans="1:1" hidden="1">
      <c r="A348" t="s">
        <v>1208</v>
      </c>
    </row>
    <row r="349" spans="1:1" hidden="1">
      <c r="A349" t="s">
        <v>1209</v>
      </c>
    </row>
    <row r="350" spans="1:1" hidden="1">
      <c r="A350" t="s">
        <v>1210</v>
      </c>
    </row>
    <row r="351" spans="1:1" hidden="1">
      <c r="A351" t="s">
        <v>1211</v>
      </c>
    </row>
    <row r="352" spans="1:1" hidden="1">
      <c r="A352" t="s">
        <v>1212</v>
      </c>
    </row>
    <row r="353" spans="1:1" hidden="1">
      <c r="A353" t="s">
        <v>1213</v>
      </c>
    </row>
    <row r="354" spans="1:1" hidden="1">
      <c r="A354" t="s">
        <v>1214</v>
      </c>
    </row>
    <row r="355" spans="1:1" hidden="1">
      <c r="A355" t="s">
        <v>1215</v>
      </c>
    </row>
    <row r="356" spans="1:1" hidden="1">
      <c r="A356" t="s">
        <v>1216</v>
      </c>
    </row>
    <row r="357" spans="1:1" hidden="1">
      <c r="A357" t="s">
        <v>1217</v>
      </c>
    </row>
    <row r="358" spans="1:1" hidden="1">
      <c r="A358" t="s">
        <v>1218</v>
      </c>
    </row>
    <row r="359" spans="1:1" hidden="1">
      <c r="A359" t="s">
        <v>1219</v>
      </c>
    </row>
    <row r="360" spans="1:1" hidden="1">
      <c r="A360" t="s">
        <v>1220</v>
      </c>
    </row>
    <row r="361" spans="1:1" hidden="1">
      <c r="A361" t="s">
        <v>1221</v>
      </c>
    </row>
    <row r="362" spans="1:1" hidden="1">
      <c r="A362" t="s">
        <v>1222</v>
      </c>
    </row>
    <row r="363" spans="1:1" hidden="1">
      <c r="A363" t="s">
        <v>1223</v>
      </c>
    </row>
    <row r="364" spans="1:1" hidden="1">
      <c r="A364" t="s">
        <v>1224</v>
      </c>
    </row>
    <row r="365" spans="1:1" hidden="1">
      <c r="A365" t="s">
        <v>1225</v>
      </c>
    </row>
    <row r="366" spans="1:1" hidden="1">
      <c r="A366" t="s">
        <v>1226</v>
      </c>
    </row>
    <row r="367" spans="1:1" hidden="1">
      <c r="A367" t="s">
        <v>1227</v>
      </c>
    </row>
    <row r="368" spans="1:1" hidden="1">
      <c r="A368" t="s">
        <v>1228</v>
      </c>
    </row>
    <row r="369" spans="1:1" hidden="1">
      <c r="A369" t="s">
        <v>1229</v>
      </c>
    </row>
    <row r="370" spans="1:1" hidden="1">
      <c r="A370" t="s">
        <v>1230</v>
      </c>
    </row>
    <row r="371" spans="1:1" hidden="1">
      <c r="A371" t="s">
        <v>1231</v>
      </c>
    </row>
    <row r="372" spans="1:1" hidden="1">
      <c r="A372" t="s">
        <v>1232</v>
      </c>
    </row>
    <row r="373" spans="1:1" hidden="1">
      <c r="A373" t="s">
        <v>1233</v>
      </c>
    </row>
    <row r="374" spans="1:1" hidden="1">
      <c r="A374" t="s">
        <v>1234</v>
      </c>
    </row>
    <row r="375" spans="1:1" hidden="1">
      <c r="A375" t="s">
        <v>1235</v>
      </c>
    </row>
    <row r="376" spans="1:1" hidden="1">
      <c r="A376" t="s">
        <v>1236</v>
      </c>
    </row>
    <row r="377" spans="1:1" hidden="1">
      <c r="A377" t="s">
        <v>1237</v>
      </c>
    </row>
    <row r="378" spans="1:1" hidden="1">
      <c r="A378" t="s">
        <v>1238</v>
      </c>
    </row>
    <row r="379" spans="1:1" hidden="1">
      <c r="A379" t="s">
        <v>1239</v>
      </c>
    </row>
    <row r="380" spans="1:1" hidden="1">
      <c r="A380" t="s">
        <v>1240</v>
      </c>
    </row>
    <row r="381" spans="1:1" hidden="1">
      <c r="A381" t="s">
        <v>1241</v>
      </c>
    </row>
    <row r="382" spans="1:1" hidden="1">
      <c r="A382" t="s">
        <v>1242</v>
      </c>
    </row>
    <row r="383" spans="1:1" hidden="1">
      <c r="A383" t="s">
        <v>1243</v>
      </c>
    </row>
    <row r="384" spans="1:1" hidden="1">
      <c r="A384" t="s">
        <v>1244</v>
      </c>
    </row>
    <row r="385" spans="1:1" hidden="1">
      <c r="A385" t="s">
        <v>1245</v>
      </c>
    </row>
    <row r="386" spans="1:1" hidden="1">
      <c r="A386" t="s">
        <v>1246</v>
      </c>
    </row>
    <row r="387" spans="1:1" hidden="1">
      <c r="A387" t="s">
        <v>1247</v>
      </c>
    </row>
    <row r="388" spans="1:1" hidden="1">
      <c r="A388" t="s">
        <v>1248</v>
      </c>
    </row>
    <row r="389" spans="1:1" hidden="1">
      <c r="A389" t="s">
        <v>1249</v>
      </c>
    </row>
    <row r="390" spans="1:1" hidden="1">
      <c r="A390" t="s">
        <v>1250</v>
      </c>
    </row>
    <row r="391" spans="1:1" hidden="1">
      <c r="A391" t="s">
        <v>1251</v>
      </c>
    </row>
    <row r="392" spans="1:1" hidden="1">
      <c r="A392" t="s">
        <v>1252</v>
      </c>
    </row>
    <row r="393" spans="1:1" hidden="1">
      <c r="A393" t="s">
        <v>1253</v>
      </c>
    </row>
    <row r="394" spans="1:1" hidden="1">
      <c r="A394" t="s">
        <v>1254</v>
      </c>
    </row>
    <row r="395" spans="1:1" hidden="1">
      <c r="A395" t="s">
        <v>1255</v>
      </c>
    </row>
    <row r="396" spans="1:1" hidden="1">
      <c r="A396" t="s">
        <v>1256</v>
      </c>
    </row>
    <row r="397" spans="1:1" hidden="1">
      <c r="A397" t="s">
        <v>1257</v>
      </c>
    </row>
    <row r="398" spans="1:1" hidden="1">
      <c r="A398" t="s">
        <v>1258</v>
      </c>
    </row>
    <row r="399" spans="1:1" hidden="1">
      <c r="A399" t="s">
        <v>1259</v>
      </c>
    </row>
    <row r="400" spans="1:1" hidden="1">
      <c r="A400" t="s">
        <v>1260</v>
      </c>
    </row>
    <row r="401" spans="1:1" hidden="1">
      <c r="A401" t="s">
        <v>1261</v>
      </c>
    </row>
    <row r="402" spans="1:1" hidden="1">
      <c r="A402" t="s">
        <v>1262</v>
      </c>
    </row>
    <row r="403" spans="1:1" hidden="1">
      <c r="A403" t="s">
        <v>1263</v>
      </c>
    </row>
    <row r="404" spans="1:1" hidden="1">
      <c r="A404" t="s">
        <v>1264</v>
      </c>
    </row>
    <row r="405" spans="1:1" hidden="1">
      <c r="A405" t="s">
        <v>1265</v>
      </c>
    </row>
    <row r="406" spans="1:1" hidden="1">
      <c r="A406" t="s">
        <v>1266</v>
      </c>
    </row>
    <row r="407" spans="1:1" hidden="1">
      <c r="A407" t="s">
        <v>1267</v>
      </c>
    </row>
    <row r="408" spans="1:1" hidden="1">
      <c r="A408" t="s">
        <v>1268</v>
      </c>
    </row>
    <row r="409" spans="1:1" hidden="1">
      <c r="A409" t="s">
        <v>1269</v>
      </c>
    </row>
    <row r="410" spans="1:1" hidden="1">
      <c r="A410" t="s">
        <v>1270</v>
      </c>
    </row>
    <row r="411" spans="1:1" hidden="1">
      <c r="A411" t="s">
        <v>1271</v>
      </c>
    </row>
    <row r="412" spans="1:1" hidden="1">
      <c r="A412" t="s">
        <v>1272</v>
      </c>
    </row>
    <row r="413" spans="1:1" hidden="1">
      <c r="A413" t="s">
        <v>1273</v>
      </c>
    </row>
    <row r="414" spans="1:1" hidden="1">
      <c r="A414" t="s">
        <v>1274</v>
      </c>
    </row>
    <row r="415" spans="1:1" hidden="1">
      <c r="A415" t="s">
        <v>1275</v>
      </c>
    </row>
    <row r="416" spans="1:1" hidden="1">
      <c r="A416" t="s">
        <v>1276</v>
      </c>
    </row>
    <row r="417" spans="1:1" hidden="1">
      <c r="A417" t="s">
        <v>1277</v>
      </c>
    </row>
    <row r="418" spans="1:1" hidden="1">
      <c r="A418" t="s">
        <v>1278</v>
      </c>
    </row>
    <row r="419" spans="1:1" hidden="1">
      <c r="A419" t="s">
        <v>1279</v>
      </c>
    </row>
    <row r="420" spans="1:1" hidden="1">
      <c r="A420" t="s">
        <v>1280</v>
      </c>
    </row>
    <row r="421" spans="1:1" hidden="1">
      <c r="A421" t="s">
        <v>1281</v>
      </c>
    </row>
    <row r="422" spans="1:1" hidden="1">
      <c r="A422" t="s">
        <v>1282</v>
      </c>
    </row>
    <row r="423" spans="1:1" hidden="1">
      <c r="A423" t="s">
        <v>1283</v>
      </c>
    </row>
    <row r="424" spans="1:1" hidden="1">
      <c r="A424" t="s">
        <v>1284</v>
      </c>
    </row>
    <row r="425" spans="1:1" hidden="1">
      <c r="A425" t="s">
        <v>1285</v>
      </c>
    </row>
    <row r="426" spans="1:1" hidden="1">
      <c r="A426" t="s">
        <v>1286</v>
      </c>
    </row>
    <row r="427" spans="1:1" hidden="1">
      <c r="A427" t="s">
        <v>1287</v>
      </c>
    </row>
    <row r="428" spans="1:1" hidden="1">
      <c r="A428" t="s">
        <v>1288</v>
      </c>
    </row>
    <row r="429" spans="1:1" hidden="1">
      <c r="A429" t="s">
        <v>1289</v>
      </c>
    </row>
    <row r="430" spans="1:1" hidden="1">
      <c r="A430" t="s">
        <v>1290</v>
      </c>
    </row>
    <row r="431" spans="1:1" hidden="1">
      <c r="A431" t="s">
        <v>1291</v>
      </c>
    </row>
    <row r="432" spans="1:1" hidden="1">
      <c r="A432" t="s">
        <v>1292</v>
      </c>
    </row>
    <row r="433" spans="1:1" hidden="1">
      <c r="A433" t="s">
        <v>1293</v>
      </c>
    </row>
    <row r="434" spans="1:1" hidden="1">
      <c r="A434" t="s">
        <v>1294</v>
      </c>
    </row>
    <row r="435" spans="1:1" hidden="1">
      <c r="A435" t="s">
        <v>1295</v>
      </c>
    </row>
    <row r="436" spans="1:1" hidden="1">
      <c r="A436" t="s">
        <v>1296</v>
      </c>
    </row>
    <row r="437" spans="1:1" hidden="1">
      <c r="A437" t="s">
        <v>1297</v>
      </c>
    </row>
    <row r="438" spans="1:1" hidden="1">
      <c r="A438" t="s">
        <v>1298</v>
      </c>
    </row>
    <row r="439" spans="1:1" hidden="1">
      <c r="A439" t="s">
        <v>1299</v>
      </c>
    </row>
    <row r="440" spans="1:1" hidden="1">
      <c r="A440" t="s">
        <v>1300</v>
      </c>
    </row>
    <row r="441" spans="1:1" hidden="1">
      <c r="A441" t="s">
        <v>1301</v>
      </c>
    </row>
    <row r="442" spans="1:1" hidden="1">
      <c r="A442" t="s">
        <v>1302</v>
      </c>
    </row>
    <row r="443" spans="1:1" hidden="1">
      <c r="A443" t="s">
        <v>1303</v>
      </c>
    </row>
    <row r="444" spans="1:1" hidden="1">
      <c r="A444" t="s">
        <v>1304</v>
      </c>
    </row>
    <row r="445" spans="1:1" hidden="1">
      <c r="A445" t="s">
        <v>1305</v>
      </c>
    </row>
    <row r="446" spans="1:1" hidden="1">
      <c r="A446" t="s">
        <v>1306</v>
      </c>
    </row>
    <row r="447" spans="1:1" hidden="1">
      <c r="A447" t="s">
        <v>1307</v>
      </c>
    </row>
    <row r="448" spans="1:1" hidden="1">
      <c r="A448" t="s">
        <v>1308</v>
      </c>
    </row>
    <row r="449" spans="1:1" hidden="1">
      <c r="A449" t="s">
        <v>1309</v>
      </c>
    </row>
    <row r="450" spans="1:1" hidden="1">
      <c r="A450" t="s">
        <v>1310</v>
      </c>
    </row>
    <row r="451" spans="1:1" hidden="1">
      <c r="A451" t="s">
        <v>1311</v>
      </c>
    </row>
    <row r="452" spans="1:1" hidden="1">
      <c r="A452" t="s">
        <v>1312</v>
      </c>
    </row>
    <row r="453" spans="1:1" hidden="1">
      <c r="A453" t="s">
        <v>1313</v>
      </c>
    </row>
    <row r="454" spans="1:1" hidden="1">
      <c r="A454" t="s">
        <v>1314</v>
      </c>
    </row>
    <row r="455" spans="1:1" hidden="1">
      <c r="A455" t="s">
        <v>1315</v>
      </c>
    </row>
    <row r="456" spans="1:1" hidden="1">
      <c r="A456" t="s">
        <v>1316</v>
      </c>
    </row>
    <row r="457" spans="1:1" hidden="1">
      <c r="A457" t="s">
        <v>1317</v>
      </c>
    </row>
    <row r="458" spans="1:1" hidden="1">
      <c r="A458" t="s">
        <v>1318</v>
      </c>
    </row>
    <row r="459" spans="1:1" hidden="1">
      <c r="A459" t="s">
        <v>1319</v>
      </c>
    </row>
    <row r="460" spans="1:1" hidden="1">
      <c r="A460" t="s">
        <v>1320</v>
      </c>
    </row>
    <row r="461" spans="1:1" hidden="1">
      <c r="A461" t="s">
        <v>1321</v>
      </c>
    </row>
    <row r="462" spans="1:1" hidden="1">
      <c r="A462" t="s">
        <v>1322</v>
      </c>
    </row>
    <row r="463" spans="1:1" hidden="1">
      <c r="A463" t="s">
        <v>1323</v>
      </c>
    </row>
    <row r="464" spans="1:1" hidden="1">
      <c r="A464" t="s">
        <v>1324</v>
      </c>
    </row>
    <row r="465" spans="1:1" hidden="1">
      <c r="A465" t="s">
        <v>1325</v>
      </c>
    </row>
    <row r="466" spans="1:1" hidden="1">
      <c r="A466" t="s">
        <v>1326</v>
      </c>
    </row>
    <row r="467" spans="1:1" hidden="1">
      <c r="A467" t="s">
        <v>1327</v>
      </c>
    </row>
    <row r="468" spans="1:1" hidden="1">
      <c r="A468" t="s">
        <v>1328</v>
      </c>
    </row>
    <row r="469" spans="1:1" hidden="1">
      <c r="A469" t="s">
        <v>1329</v>
      </c>
    </row>
    <row r="470" spans="1:1" hidden="1">
      <c r="A470" t="s">
        <v>1330</v>
      </c>
    </row>
    <row r="471" spans="1:1" hidden="1">
      <c r="A471" t="s">
        <v>1331</v>
      </c>
    </row>
    <row r="472" spans="1:1" hidden="1">
      <c r="A472" t="s">
        <v>1332</v>
      </c>
    </row>
    <row r="473" spans="1:1" hidden="1">
      <c r="A473" t="s">
        <v>1333</v>
      </c>
    </row>
    <row r="474" spans="1:1" hidden="1">
      <c r="A474" t="s">
        <v>1334</v>
      </c>
    </row>
    <row r="475" spans="1:1" hidden="1">
      <c r="A475" t="s">
        <v>1335</v>
      </c>
    </row>
    <row r="476" spans="1:1" hidden="1">
      <c r="A476" t="s">
        <v>1336</v>
      </c>
    </row>
    <row r="477" spans="1:1" hidden="1">
      <c r="A477" t="s">
        <v>1337</v>
      </c>
    </row>
    <row r="478" spans="1:1" hidden="1">
      <c r="A478" t="s">
        <v>1338</v>
      </c>
    </row>
    <row r="479" spans="1:1" hidden="1">
      <c r="A479" t="s">
        <v>1339</v>
      </c>
    </row>
    <row r="480" spans="1:1" hidden="1">
      <c r="A480" t="s">
        <v>1340</v>
      </c>
    </row>
    <row r="481" spans="1:1" hidden="1">
      <c r="A481" t="s">
        <v>1341</v>
      </c>
    </row>
    <row r="482" spans="1:1" hidden="1">
      <c r="A482" t="s">
        <v>1342</v>
      </c>
    </row>
    <row r="483" spans="1:1" hidden="1">
      <c r="A483" t="s">
        <v>1343</v>
      </c>
    </row>
    <row r="484" spans="1:1" hidden="1">
      <c r="A484" t="s">
        <v>1344</v>
      </c>
    </row>
    <row r="485" spans="1:1" hidden="1">
      <c r="A485" t="s">
        <v>1345</v>
      </c>
    </row>
    <row r="486" spans="1:1" hidden="1">
      <c r="A486" t="s">
        <v>1346</v>
      </c>
    </row>
    <row r="487" spans="1:1" hidden="1">
      <c r="A487" t="s">
        <v>1347</v>
      </c>
    </row>
    <row r="488" spans="1:1" hidden="1">
      <c r="A488" t="s">
        <v>1348</v>
      </c>
    </row>
    <row r="489" spans="1:1" hidden="1">
      <c r="A489" t="s">
        <v>1349</v>
      </c>
    </row>
    <row r="490" spans="1:1" hidden="1">
      <c r="A490" t="s">
        <v>1350</v>
      </c>
    </row>
    <row r="491" spans="1:1" hidden="1">
      <c r="A491" t="s">
        <v>1351</v>
      </c>
    </row>
    <row r="492" spans="1:1" hidden="1">
      <c r="A492" t="s">
        <v>1352</v>
      </c>
    </row>
    <row r="493" spans="1:1" hidden="1">
      <c r="A493" t="s">
        <v>1353</v>
      </c>
    </row>
    <row r="494" spans="1:1" hidden="1">
      <c r="A494" t="s">
        <v>1354</v>
      </c>
    </row>
    <row r="495" spans="1:1" hidden="1">
      <c r="A495" t="s">
        <v>1355</v>
      </c>
    </row>
    <row r="496" spans="1:1" hidden="1">
      <c r="A496" t="s">
        <v>1356</v>
      </c>
    </row>
    <row r="497" spans="1:1" hidden="1">
      <c r="A497" t="s">
        <v>1357</v>
      </c>
    </row>
    <row r="498" spans="1:1" hidden="1">
      <c r="A498" t="s">
        <v>1358</v>
      </c>
    </row>
    <row r="499" spans="1:1" hidden="1">
      <c r="A499" t="s">
        <v>1359</v>
      </c>
    </row>
    <row r="500" spans="1:1" hidden="1">
      <c r="A500" t="s">
        <v>1360</v>
      </c>
    </row>
    <row r="501" spans="1:1" hidden="1">
      <c r="A501" t="s">
        <v>1361</v>
      </c>
    </row>
    <row r="502" spans="1:1" hidden="1">
      <c r="A502" t="s">
        <v>1362</v>
      </c>
    </row>
    <row r="503" spans="1:1" hidden="1">
      <c r="A503" t="s">
        <v>1363</v>
      </c>
    </row>
    <row r="504" spans="1:1" hidden="1">
      <c r="A504" t="s">
        <v>1364</v>
      </c>
    </row>
    <row r="505" spans="1:1" hidden="1">
      <c r="A505" t="s">
        <v>1365</v>
      </c>
    </row>
    <row r="506" spans="1:1" hidden="1">
      <c r="A506" t="s">
        <v>1366</v>
      </c>
    </row>
    <row r="507" spans="1:1" hidden="1">
      <c r="A507" t="s">
        <v>1367</v>
      </c>
    </row>
    <row r="508" spans="1:1" hidden="1">
      <c r="A508" t="s">
        <v>1368</v>
      </c>
    </row>
    <row r="509" spans="1:1" hidden="1">
      <c r="A509" t="s">
        <v>1369</v>
      </c>
    </row>
    <row r="510" spans="1:1" hidden="1">
      <c r="A510" t="s">
        <v>1370</v>
      </c>
    </row>
    <row r="511" spans="1:1" hidden="1">
      <c r="A511" t="s">
        <v>1371</v>
      </c>
    </row>
    <row r="512" spans="1:1" hidden="1">
      <c r="A512" t="s">
        <v>1372</v>
      </c>
    </row>
    <row r="513" spans="1:1" hidden="1">
      <c r="A513" t="s">
        <v>1373</v>
      </c>
    </row>
    <row r="514" spans="1:1" hidden="1">
      <c r="A514" t="s">
        <v>1374</v>
      </c>
    </row>
    <row r="515" spans="1:1" hidden="1">
      <c r="A515" t="s">
        <v>1375</v>
      </c>
    </row>
    <row r="516" spans="1:1" hidden="1">
      <c r="A516" t="s">
        <v>1376</v>
      </c>
    </row>
    <row r="517" spans="1:1" hidden="1">
      <c r="A517" t="s">
        <v>1377</v>
      </c>
    </row>
    <row r="518" spans="1:1" hidden="1">
      <c r="A518" t="s">
        <v>1378</v>
      </c>
    </row>
    <row r="519" spans="1:1" hidden="1">
      <c r="A519" t="s">
        <v>1379</v>
      </c>
    </row>
    <row r="520" spans="1:1" hidden="1">
      <c r="A520" t="s">
        <v>1380</v>
      </c>
    </row>
    <row r="521" spans="1:1" hidden="1">
      <c r="A521" t="s">
        <v>1381</v>
      </c>
    </row>
    <row r="522" spans="1:1" hidden="1">
      <c r="A522" t="s">
        <v>1382</v>
      </c>
    </row>
    <row r="523" spans="1:1" hidden="1">
      <c r="A523" t="s">
        <v>1383</v>
      </c>
    </row>
    <row r="524" spans="1:1" hidden="1">
      <c r="A524" t="s">
        <v>1384</v>
      </c>
    </row>
    <row r="525" spans="1:1" hidden="1">
      <c r="A525" t="s">
        <v>1385</v>
      </c>
    </row>
    <row r="526" spans="1:1" hidden="1">
      <c r="A526" t="s">
        <v>1386</v>
      </c>
    </row>
    <row r="527" spans="1:1" hidden="1">
      <c r="A527" t="s">
        <v>1387</v>
      </c>
    </row>
    <row r="528" spans="1:1" hidden="1">
      <c r="A528" t="s">
        <v>1388</v>
      </c>
    </row>
    <row r="529" spans="1:1" hidden="1">
      <c r="A529" t="s">
        <v>1389</v>
      </c>
    </row>
    <row r="530" spans="1:1" hidden="1">
      <c r="A530" t="s">
        <v>1390</v>
      </c>
    </row>
    <row r="531" spans="1:1" hidden="1">
      <c r="A531" t="s">
        <v>1391</v>
      </c>
    </row>
    <row r="532" spans="1:1" hidden="1">
      <c r="A532" t="s">
        <v>1392</v>
      </c>
    </row>
    <row r="533" spans="1:1" hidden="1">
      <c r="A533" t="s">
        <v>1393</v>
      </c>
    </row>
    <row r="534" spans="1:1" hidden="1">
      <c r="A534" t="s">
        <v>1394</v>
      </c>
    </row>
    <row r="535" spans="1:1" hidden="1">
      <c r="A535" t="s">
        <v>1395</v>
      </c>
    </row>
    <row r="536" spans="1:1" hidden="1">
      <c r="A536" t="s">
        <v>1396</v>
      </c>
    </row>
    <row r="537" spans="1:1" hidden="1">
      <c r="A537" t="s">
        <v>1397</v>
      </c>
    </row>
    <row r="538" spans="1:1" hidden="1">
      <c r="A538" t="s">
        <v>1398</v>
      </c>
    </row>
    <row r="539" spans="1:1" hidden="1">
      <c r="A539" t="s">
        <v>1399</v>
      </c>
    </row>
    <row r="540" spans="1:1" hidden="1">
      <c r="A540" t="s">
        <v>1400</v>
      </c>
    </row>
    <row r="541" spans="1:1" hidden="1">
      <c r="A541" t="s">
        <v>1401</v>
      </c>
    </row>
    <row r="542" spans="1:1" hidden="1">
      <c r="A542" t="s">
        <v>1402</v>
      </c>
    </row>
    <row r="543" spans="1:1" hidden="1">
      <c r="A543" t="s">
        <v>1403</v>
      </c>
    </row>
    <row r="544" spans="1:1" hidden="1">
      <c r="A544" t="s">
        <v>1404</v>
      </c>
    </row>
    <row r="545" spans="1:1" hidden="1">
      <c r="A545" t="s">
        <v>1405</v>
      </c>
    </row>
    <row r="546" spans="1:1" hidden="1">
      <c r="A546" t="s">
        <v>1406</v>
      </c>
    </row>
    <row r="547" spans="1:1" hidden="1">
      <c r="A547" t="s">
        <v>1407</v>
      </c>
    </row>
    <row r="548" spans="1:1" hidden="1">
      <c r="A548" t="s">
        <v>1408</v>
      </c>
    </row>
    <row r="549" spans="1:1" hidden="1">
      <c r="A549" t="s">
        <v>1409</v>
      </c>
    </row>
    <row r="550" spans="1:1" hidden="1">
      <c r="A550" t="s">
        <v>1410</v>
      </c>
    </row>
    <row r="551" spans="1:1" hidden="1">
      <c r="A551" t="s">
        <v>1411</v>
      </c>
    </row>
    <row r="552" spans="1:1" hidden="1">
      <c r="A552" t="s">
        <v>1412</v>
      </c>
    </row>
    <row r="553" spans="1:1" hidden="1">
      <c r="A553" t="s">
        <v>1413</v>
      </c>
    </row>
    <row r="554" spans="1:1" hidden="1">
      <c r="A554" t="s">
        <v>1414</v>
      </c>
    </row>
    <row r="555" spans="1:1" hidden="1">
      <c r="A555" t="s">
        <v>1415</v>
      </c>
    </row>
    <row r="556" spans="1:1" hidden="1">
      <c r="A556" t="s">
        <v>1416</v>
      </c>
    </row>
    <row r="557" spans="1:1" hidden="1">
      <c r="A557" t="s">
        <v>1417</v>
      </c>
    </row>
    <row r="558" spans="1:1" hidden="1">
      <c r="A558" t="s">
        <v>1418</v>
      </c>
    </row>
    <row r="559" spans="1:1" hidden="1">
      <c r="A559" t="s">
        <v>1419</v>
      </c>
    </row>
    <row r="560" spans="1:1" hidden="1">
      <c r="A560" t="s">
        <v>1420</v>
      </c>
    </row>
    <row r="561" spans="1:1" hidden="1">
      <c r="A561" t="s">
        <v>1421</v>
      </c>
    </row>
    <row r="562" spans="1:1" hidden="1">
      <c r="A562" t="s">
        <v>1422</v>
      </c>
    </row>
    <row r="563" spans="1:1" hidden="1">
      <c r="A563" t="s">
        <v>1423</v>
      </c>
    </row>
    <row r="564" spans="1:1" hidden="1">
      <c r="A564" t="s">
        <v>1424</v>
      </c>
    </row>
    <row r="565" spans="1:1" hidden="1">
      <c r="A565" t="s">
        <v>1425</v>
      </c>
    </row>
    <row r="566" spans="1:1" hidden="1">
      <c r="A566" t="s">
        <v>1426</v>
      </c>
    </row>
    <row r="567" spans="1:1" hidden="1">
      <c r="A567" t="s">
        <v>1427</v>
      </c>
    </row>
    <row r="568" spans="1:1" hidden="1">
      <c r="A568" t="s">
        <v>1428</v>
      </c>
    </row>
    <row r="569" spans="1:1" hidden="1">
      <c r="A569" t="s">
        <v>1429</v>
      </c>
    </row>
    <row r="570" spans="1:1" hidden="1">
      <c r="A570" t="s">
        <v>1430</v>
      </c>
    </row>
    <row r="571" spans="1:1" hidden="1">
      <c r="A571" t="s">
        <v>1431</v>
      </c>
    </row>
    <row r="572" spans="1:1" hidden="1">
      <c r="A572" t="s">
        <v>1432</v>
      </c>
    </row>
    <row r="573" spans="1:1" hidden="1">
      <c r="A573" t="s">
        <v>1433</v>
      </c>
    </row>
    <row r="574" spans="1:1" hidden="1">
      <c r="A574" t="s">
        <v>1434</v>
      </c>
    </row>
    <row r="575" spans="1:1" hidden="1">
      <c r="A575" t="s">
        <v>1435</v>
      </c>
    </row>
    <row r="576" spans="1:1" hidden="1">
      <c r="A576" t="s">
        <v>1436</v>
      </c>
    </row>
    <row r="577" spans="1:1" hidden="1">
      <c r="A577" t="s">
        <v>1437</v>
      </c>
    </row>
    <row r="578" spans="1:1" hidden="1">
      <c r="A578" t="s">
        <v>1438</v>
      </c>
    </row>
    <row r="579" spans="1:1" hidden="1">
      <c r="A579" t="s">
        <v>1439</v>
      </c>
    </row>
    <row r="580" spans="1:1" hidden="1">
      <c r="A580" t="s">
        <v>1440</v>
      </c>
    </row>
    <row r="581" spans="1:1" hidden="1">
      <c r="A581" t="s">
        <v>1441</v>
      </c>
    </row>
    <row r="582" spans="1:1" hidden="1">
      <c r="A582" t="s">
        <v>1442</v>
      </c>
    </row>
    <row r="583" spans="1:1" hidden="1">
      <c r="A583" t="s">
        <v>1443</v>
      </c>
    </row>
    <row r="584" spans="1:1" hidden="1">
      <c r="A584" t="s">
        <v>1444</v>
      </c>
    </row>
    <row r="585" spans="1:1" hidden="1">
      <c r="A585" t="s">
        <v>1445</v>
      </c>
    </row>
    <row r="586" spans="1:1" hidden="1">
      <c r="A586" t="s">
        <v>1446</v>
      </c>
    </row>
    <row r="587" spans="1:1" hidden="1">
      <c r="A587" t="s">
        <v>1447</v>
      </c>
    </row>
    <row r="588" spans="1:1" hidden="1">
      <c r="A588" t="s">
        <v>1448</v>
      </c>
    </row>
    <row r="589" spans="1:1" hidden="1">
      <c r="A589" t="s">
        <v>1449</v>
      </c>
    </row>
    <row r="590" spans="1:1" hidden="1">
      <c r="A590" t="s">
        <v>1450</v>
      </c>
    </row>
    <row r="591" spans="1:1" hidden="1">
      <c r="A591" t="s">
        <v>1451</v>
      </c>
    </row>
    <row r="592" spans="1:1" hidden="1">
      <c r="A592" t="s">
        <v>1452</v>
      </c>
    </row>
    <row r="593" spans="1:1" hidden="1">
      <c r="A593" t="s">
        <v>1453</v>
      </c>
    </row>
    <row r="594" spans="1:1" hidden="1">
      <c r="A594" t="s">
        <v>1454</v>
      </c>
    </row>
    <row r="595" spans="1:1" hidden="1">
      <c r="A595" t="s">
        <v>1455</v>
      </c>
    </row>
    <row r="596" spans="1:1" hidden="1">
      <c r="A596" t="s">
        <v>1456</v>
      </c>
    </row>
    <row r="597" spans="1:1" hidden="1">
      <c r="A597" t="s">
        <v>1457</v>
      </c>
    </row>
    <row r="598" spans="1:1" hidden="1">
      <c r="A598" t="s">
        <v>1458</v>
      </c>
    </row>
    <row r="599" spans="1:1" hidden="1">
      <c r="A599" t="s">
        <v>1459</v>
      </c>
    </row>
    <row r="600" spans="1:1" hidden="1">
      <c r="A600" t="s">
        <v>1460</v>
      </c>
    </row>
    <row r="601" spans="1:1" hidden="1">
      <c r="A601" t="s">
        <v>1461</v>
      </c>
    </row>
    <row r="602" spans="1:1" hidden="1">
      <c r="A602" t="s">
        <v>1462</v>
      </c>
    </row>
    <row r="603" spans="1:1" hidden="1">
      <c r="A603" t="s">
        <v>1463</v>
      </c>
    </row>
    <row r="604" spans="1:1" hidden="1">
      <c r="A604" t="s">
        <v>1464</v>
      </c>
    </row>
    <row r="605" spans="1:1" hidden="1">
      <c r="A605" t="s">
        <v>1465</v>
      </c>
    </row>
    <row r="606" spans="1:1" hidden="1">
      <c r="A606" t="s">
        <v>1466</v>
      </c>
    </row>
    <row r="607" spans="1:1" hidden="1">
      <c r="A607" t="s">
        <v>1467</v>
      </c>
    </row>
    <row r="608" spans="1:1" hidden="1">
      <c r="A608" t="s">
        <v>1468</v>
      </c>
    </row>
    <row r="609" spans="1:1" hidden="1">
      <c r="A609" t="s">
        <v>1469</v>
      </c>
    </row>
    <row r="610" spans="1:1" hidden="1">
      <c r="A610" t="s">
        <v>1470</v>
      </c>
    </row>
    <row r="611" spans="1:1" hidden="1">
      <c r="A611" t="s">
        <v>1471</v>
      </c>
    </row>
    <row r="612" spans="1:1" hidden="1">
      <c r="A612" t="s">
        <v>1472</v>
      </c>
    </row>
    <row r="613" spans="1:1" hidden="1">
      <c r="A613" t="s">
        <v>1473</v>
      </c>
    </row>
    <row r="614" spans="1:1" hidden="1">
      <c r="A614" t="s">
        <v>1474</v>
      </c>
    </row>
    <row r="615" spans="1:1" hidden="1">
      <c r="A615" t="s">
        <v>1475</v>
      </c>
    </row>
    <row r="616" spans="1:1" hidden="1">
      <c r="A616" t="s">
        <v>1476</v>
      </c>
    </row>
    <row r="617" spans="1:1" hidden="1">
      <c r="A617" t="s">
        <v>1477</v>
      </c>
    </row>
    <row r="618" spans="1:1" hidden="1">
      <c r="A618" t="s">
        <v>1478</v>
      </c>
    </row>
    <row r="619" spans="1:1" hidden="1">
      <c r="A619" t="s">
        <v>1479</v>
      </c>
    </row>
    <row r="620" spans="1:1" hidden="1">
      <c r="A620" t="s">
        <v>1480</v>
      </c>
    </row>
    <row r="621" spans="1:1" hidden="1">
      <c r="A621" t="s">
        <v>1481</v>
      </c>
    </row>
    <row r="622" spans="1:1" hidden="1">
      <c r="A622" t="s">
        <v>1482</v>
      </c>
    </row>
    <row r="623" spans="1:1" hidden="1">
      <c r="A623" t="s">
        <v>1483</v>
      </c>
    </row>
    <row r="624" spans="1:1" hidden="1">
      <c r="A624" t="s">
        <v>1484</v>
      </c>
    </row>
    <row r="625" spans="1:1" hidden="1">
      <c r="A625" t="s">
        <v>1485</v>
      </c>
    </row>
    <row r="626" spans="1:1" hidden="1">
      <c r="A626" t="s">
        <v>1486</v>
      </c>
    </row>
    <row r="627" spans="1:1" hidden="1">
      <c r="A627" t="s">
        <v>1487</v>
      </c>
    </row>
    <row r="628" spans="1:1" hidden="1">
      <c r="A628" t="s">
        <v>1488</v>
      </c>
    </row>
    <row r="629" spans="1:1" hidden="1">
      <c r="A629" t="s">
        <v>1489</v>
      </c>
    </row>
    <row r="630" spans="1:1" hidden="1">
      <c r="A630" t="s">
        <v>1490</v>
      </c>
    </row>
    <row r="631" spans="1:1" hidden="1">
      <c r="A631" t="s">
        <v>1491</v>
      </c>
    </row>
    <row r="632" spans="1:1" hidden="1">
      <c r="A632" t="s">
        <v>1492</v>
      </c>
    </row>
    <row r="633" spans="1:1" hidden="1">
      <c r="A633" t="s">
        <v>1493</v>
      </c>
    </row>
    <row r="634" spans="1:1" hidden="1">
      <c r="A634" t="s">
        <v>1494</v>
      </c>
    </row>
    <row r="635" spans="1:1" hidden="1">
      <c r="A635" t="s">
        <v>1495</v>
      </c>
    </row>
    <row r="636" spans="1:1" hidden="1">
      <c r="A636" t="s">
        <v>1496</v>
      </c>
    </row>
    <row r="637" spans="1:1" hidden="1">
      <c r="A637" t="s">
        <v>1497</v>
      </c>
    </row>
    <row r="638" spans="1:1" hidden="1">
      <c r="A638" t="s">
        <v>1498</v>
      </c>
    </row>
    <row r="639" spans="1:1" hidden="1">
      <c r="A639" t="s">
        <v>1499</v>
      </c>
    </row>
    <row r="640" spans="1:1" hidden="1">
      <c r="A640" t="s">
        <v>1500</v>
      </c>
    </row>
    <row r="641" spans="1:1" hidden="1">
      <c r="A641" t="s">
        <v>1501</v>
      </c>
    </row>
    <row r="642" spans="1:1" hidden="1">
      <c r="A642" t="s">
        <v>1502</v>
      </c>
    </row>
    <row r="643" spans="1:1" hidden="1">
      <c r="A643" t="s">
        <v>1503</v>
      </c>
    </row>
    <row r="644" spans="1:1" hidden="1">
      <c r="A644" t="s">
        <v>1504</v>
      </c>
    </row>
    <row r="645" spans="1:1" hidden="1">
      <c r="A645" t="s">
        <v>1505</v>
      </c>
    </row>
    <row r="646" spans="1:1" hidden="1">
      <c r="A646" t="s">
        <v>1506</v>
      </c>
    </row>
    <row r="647" spans="1:1" hidden="1">
      <c r="A647" t="s">
        <v>1507</v>
      </c>
    </row>
    <row r="648" spans="1:1" hidden="1">
      <c r="A648" t="s">
        <v>1508</v>
      </c>
    </row>
    <row r="649" spans="1:1" hidden="1">
      <c r="A649" t="s">
        <v>1509</v>
      </c>
    </row>
    <row r="650" spans="1:1" hidden="1">
      <c r="A650" t="s">
        <v>1510</v>
      </c>
    </row>
    <row r="651" spans="1:1" hidden="1">
      <c r="A651" t="s">
        <v>1511</v>
      </c>
    </row>
    <row r="652" spans="1:1" hidden="1">
      <c r="A652" t="s">
        <v>1512</v>
      </c>
    </row>
    <row r="653" spans="1:1" hidden="1">
      <c r="A653" t="s">
        <v>1513</v>
      </c>
    </row>
    <row r="654" spans="1:1" hidden="1">
      <c r="A654" t="s">
        <v>1514</v>
      </c>
    </row>
    <row r="655" spans="1:1" hidden="1">
      <c r="A655" t="s">
        <v>1515</v>
      </c>
    </row>
    <row r="656" spans="1:1" hidden="1">
      <c r="A656" t="s">
        <v>1516</v>
      </c>
    </row>
    <row r="657" spans="1:1" hidden="1">
      <c r="A657" t="s">
        <v>1517</v>
      </c>
    </row>
    <row r="658" spans="1:1" hidden="1">
      <c r="A658" t="s">
        <v>1518</v>
      </c>
    </row>
    <row r="659" spans="1:1" hidden="1">
      <c r="A659" t="s">
        <v>1519</v>
      </c>
    </row>
    <row r="660" spans="1:1" hidden="1">
      <c r="A660" t="s">
        <v>1520</v>
      </c>
    </row>
    <row r="661" spans="1:1" hidden="1">
      <c r="A661" t="s">
        <v>1521</v>
      </c>
    </row>
    <row r="662" spans="1:1" hidden="1">
      <c r="A662" t="s">
        <v>1522</v>
      </c>
    </row>
    <row r="663" spans="1:1" hidden="1">
      <c r="A663" t="s">
        <v>1523</v>
      </c>
    </row>
    <row r="664" spans="1:1" hidden="1">
      <c r="A664" t="s">
        <v>1524</v>
      </c>
    </row>
    <row r="665" spans="1:1" hidden="1">
      <c r="A665" t="s">
        <v>1525</v>
      </c>
    </row>
    <row r="666" spans="1:1" hidden="1">
      <c r="A666" t="s">
        <v>1526</v>
      </c>
    </row>
    <row r="667" spans="1:1" hidden="1">
      <c r="A667" t="s">
        <v>1527</v>
      </c>
    </row>
    <row r="668" spans="1:1" hidden="1">
      <c r="A668" t="s">
        <v>1528</v>
      </c>
    </row>
    <row r="669" spans="1:1" hidden="1">
      <c r="A669" t="s">
        <v>1529</v>
      </c>
    </row>
    <row r="670" spans="1:1" hidden="1">
      <c r="A670" t="s">
        <v>1530</v>
      </c>
    </row>
    <row r="671" spans="1:1" hidden="1">
      <c r="A671" t="s">
        <v>1531</v>
      </c>
    </row>
    <row r="672" spans="1:1" hidden="1">
      <c r="A672" t="s">
        <v>1532</v>
      </c>
    </row>
    <row r="673" spans="1:1" hidden="1">
      <c r="A673" t="s">
        <v>1533</v>
      </c>
    </row>
    <row r="674" spans="1:1" hidden="1">
      <c r="A674" t="s">
        <v>1534</v>
      </c>
    </row>
    <row r="675" spans="1:1" hidden="1">
      <c r="A675" t="s">
        <v>1535</v>
      </c>
    </row>
    <row r="676" spans="1:1" hidden="1">
      <c r="A676" t="s">
        <v>1536</v>
      </c>
    </row>
    <row r="677" spans="1:1" hidden="1">
      <c r="A677" t="s">
        <v>1537</v>
      </c>
    </row>
    <row r="678" spans="1:1" hidden="1">
      <c r="A678" t="s">
        <v>1538</v>
      </c>
    </row>
    <row r="679" spans="1:1" hidden="1">
      <c r="A679" t="s">
        <v>1539</v>
      </c>
    </row>
    <row r="680" spans="1:1" hidden="1">
      <c r="A680" t="s">
        <v>1540</v>
      </c>
    </row>
    <row r="681" spans="1:1" hidden="1">
      <c r="A681" t="s">
        <v>1541</v>
      </c>
    </row>
    <row r="682" spans="1:1" hidden="1">
      <c r="A682" t="s">
        <v>1542</v>
      </c>
    </row>
    <row r="683" spans="1:1" hidden="1">
      <c r="A683" t="s">
        <v>1543</v>
      </c>
    </row>
    <row r="684" spans="1:1" hidden="1">
      <c r="A684" t="s">
        <v>1544</v>
      </c>
    </row>
    <row r="685" spans="1:1" hidden="1">
      <c r="A685" t="s">
        <v>1545</v>
      </c>
    </row>
    <row r="686" spans="1:1" hidden="1">
      <c r="A686" t="s">
        <v>1546</v>
      </c>
    </row>
    <row r="687" spans="1:1" hidden="1">
      <c r="A687" t="s">
        <v>1547</v>
      </c>
    </row>
    <row r="688" spans="1:1" hidden="1">
      <c r="A688" t="s">
        <v>1548</v>
      </c>
    </row>
    <row r="689" spans="1:1" hidden="1">
      <c r="A689" t="s">
        <v>1549</v>
      </c>
    </row>
    <row r="690" spans="1:1" hidden="1">
      <c r="A690" t="s">
        <v>1550</v>
      </c>
    </row>
    <row r="691" spans="1:1" hidden="1">
      <c r="A691" t="s">
        <v>1551</v>
      </c>
    </row>
    <row r="692" spans="1:1" hidden="1">
      <c r="A692" t="s">
        <v>1552</v>
      </c>
    </row>
    <row r="693" spans="1:1" hidden="1">
      <c r="A693" t="s">
        <v>1553</v>
      </c>
    </row>
    <row r="694" spans="1:1" hidden="1">
      <c r="A694" t="s">
        <v>1554</v>
      </c>
    </row>
    <row r="695" spans="1:1" hidden="1">
      <c r="A695" t="s">
        <v>1555</v>
      </c>
    </row>
    <row r="696" spans="1:1" hidden="1">
      <c r="A696" t="s">
        <v>1556</v>
      </c>
    </row>
    <row r="697" spans="1:1" hidden="1">
      <c r="A697" t="s">
        <v>1557</v>
      </c>
    </row>
    <row r="698" spans="1:1" hidden="1">
      <c r="A698" t="s">
        <v>1558</v>
      </c>
    </row>
    <row r="699" spans="1:1" hidden="1">
      <c r="A699" t="s">
        <v>1559</v>
      </c>
    </row>
    <row r="700" spans="1:1" hidden="1">
      <c r="A700" t="s">
        <v>1560</v>
      </c>
    </row>
    <row r="701" spans="1:1" hidden="1">
      <c r="A701" t="s">
        <v>1561</v>
      </c>
    </row>
    <row r="702" spans="1:1" hidden="1">
      <c r="A702" t="s">
        <v>1562</v>
      </c>
    </row>
    <row r="703" spans="1:1" hidden="1">
      <c r="A703" t="s">
        <v>1563</v>
      </c>
    </row>
    <row r="704" spans="1:1" hidden="1">
      <c r="A704" t="s">
        <v>1564</v>
      </c>
    </row>
    <row r="705" spans="1:1" hidden="1">
      <c r="A705" t="s">
        <v>1565</v>
      </c>
    </row>
    <row r="706" spans="1:1" hidden="1">
      <c r="A706" t="s">
        <v>1566</v>
      </c>
    </row>
    <row r="707" spans="1:1" hidden="1">
      <c r="A707" t="s">
        <v>1567</v>
      </c>
    </row>
    <row r="708" spans="1:1" hidden="1">
      <c r="A708" t="s">
        <v>1568</v>
      </c>
    </row>
    <row r="709" spans="1:1" hidden="1">
      <c r="A709" t="s">
        <v>1569</v>
      </c>
    </row>
    <row r="710" spans="1:1" hidden="1">
      <c r="A710" t="s">
        <v>1570</v>
      </c>
    </row>
    <row r="711" spans="1:1" hidden="1">
      <c r="A711" t="s">
        <v>1571</v>
      </c>
    </row>
    <row r="712" spans="1:1" hidden="1">
      <c r="A712" t="s">
        <v>1572</v>
      </c>
    </row>
    <row r="713" spans="1:1" hidden="1">
      <c r="A713" t="s">
        <v>1573</v>
      </c>
    </row>
    <row r="714" spans="1:1" hidden="1">
      <c r="A714" t="s">
        <v>1574</v>
      </c>
    </row>
    <row r="715" spans="1:1" hidden="1">
      <c r="A715" t="s">
        <v>1575</v>
      </c>
    </row>
    <row r="716" spans="1:1" hidden="1">
      <c r="A716" t="s">
        <v>1576</v>
      </c>
    </row>
    <row r="717" spans="1:1" hidden="1">
      <c r="A717" t="s">
        <v>1577</v>
      </c>
    </row>
    <row r="718" spans="1:1" hidden="1">
      <c r="A718" t="s">
        <v>1578</v>
      </c>
    </row>
    <row r="719" spans="1:1" hidden="1">
      <c r="A719" t="s">
        <v>1579</v>
      </c>
    </row>
    <row r="720" spans="1:1" hidden="1">
      <c r="A720" t="s">
        <v>1580</v>
      </c>
    </row>
    <row r="721" spans="1:1" hidden="1">
      <c r="A721" t="s">
        <v>1581</v>
      </c>
    </row>
    <row r="722" spans="1:1" hidden="1">
      <c r="A722" t="s">
        <v>1582</v>
      </c>
    </row>
    <row r="723" spans="1:1" hidden="1">
      <c r="A723" t="s">
        <v>1583</v>
      </c>
    </row>
    <row r="724" spans="1:1" hidden="1">
      <c r="A724" t="s">
        <v>1584</v>
      </c>
    </row>
    <row r="725" spans="1:1" hidden="1">
      <c r="A725" t="s">
        <v>1585</v>
      </c>
    </row>
    <row r="726" spans="1:1" hidden="1">
      <c r="A726" t="s">
        <v>1586</v>
      </c>
    </row>
    <row r="727" spans="1:1" hidden="1">
      <c r="A727" t="s">
        <v>1587</v>
      </c>
    </row>
    <row r="728" spans="1:1" hidden="1">
      <c r="A728" t="s">
        <v>1588</v>
      </c>
    </row>
    <row r="729" spans="1:1" hidden="1">
      <c r="A729" t="s">
        <v>1589</v>
      </c>
    </row>
    <row r="730" spans="1:1" hidden="1">
      <c r="A730" t="s">
        <v>1590</v>
      </c>
    </row>
    <row r="731" spans="1:1" hidden="1">
      <c r="A731" t="s">
        <v>1591</v>
      </c>
    </row>
    <row r="732" spans="1:1" hidden="1">
      <c r="A732" t="s">
        <v>1592</v>
      </c>
    </row>
    <row r="733" spans="1:1" hidden="1">
      <c r="A733" t="s">
        <v>1593</v>
      </c>
    </row>
    <row r="734" spans="1:1" hidden="1">
      <c r="A734" t="s">
        <v>1594</v>
      </c>
    </row>
    <row r="735" spans="1:1" hidden="1">
      <c r="A735" t="s">
        <v>1595</v>
      </c>
    </row>
    <row r="736" spans="1:1" hidden="1">
      <c r="A736" t="s">
        <v>1596</v>
      </c>
    </row>
    <row r="737" spans="1:1" hidden="1">
      <c r="A737" t="s">
        <v>1597</v>
      </c>
    </row>
    <row r="738" spans="1:1" hidden="1">
      <c r="A738" t="s">
        <v>1598</v>
      </c>
    </row>
    <row r="739" spans="1:1" hidden="1">
      <c r="A739" t="s">
        <v>1599</v>
      </c>
    </row>
    <row r="740" spans="1:1" hidden="1">
      <c r="A740" t="s">
        <v>1600</v>
      </c>
    </row>
    <row r="741" spans="1:1" hidden="1">
      <c r="A741" t="s">
        <v>1601</v>
      </c>
    </row>
    <row r="742" spans="1:1" hidden="1">
      <c r="A742" t="s">
        <v>1602</v>
      </c>
    </row>
    <row r="743" spans="1:1" hidden="1">
      <c r="A743" t="s">
        <v>1603</v>
      </c>
    </row>
    <row r="744" spans="1:1" hidden="1">
      <c r="A744" t="s">
        <v>1604</v>
      </c>
    </row>
    <row r="745" spans="1:1" hidden="1">
      <c r="A745" t="s">
        <v>1605</v>
      </c>
    </row>
    <row r="746" spans="1:1" hidden="1">
      <c r="A746" t="s">
        <v>1606</v>
      </c>
    </row>
    <row r="747" spans="1:1" hidden="1">
      <c r="A747" t="s">
        <v>1607</v>
      </c>
    </row>
    <row r="748" spans="1:1" hidden="1">
      <c r="A748" t="s">
        <v>1608</v>
      </c>
    </row>
    <row r="749" spans="1:1" hidden="1">
      <c r="A749" t="s">
        <v>1609</v>
      </c>
    </row>
    <row r="750" spans="1:1" hidden="1">
      <c r="A750" t="s">
        <v>1610</v>
      </c>
    </row>
    <row r="751" spans="1:1" hidden="1">
      <c r="A751" t="s">
        <v>1611</v>
      </c>
    </row>
    <row r="752" spans="1:1" hidden="1">
      <c r="A752" t="s">
        <v>1612</v>
      </c>
    </row>
    <row r="753" spans="1:1" hidden="1">
      <c r="A753" t="s">
        <v>1613</v>
      </c>
    </row>
    <row r="754" spans="1:1" hidden="1">
      <c r="A754" t="s">
        <v>1614</v>
      </c>
    </row>
    <row r="755" spans="1:1" hidden="1">
      <c r="A755" t="s">
        <v>1615</v>
      </c>
    </row>
    <row r="756" spans="1:1" hidden="1">
      <c r="A756" t="s">
        <v>1616</v>
      </c>
    </row>
    <row r="757" spans="1:1" hidden="1">
      <c r="A757" t="s">
        <v>1617</v>
      </c>
    </row>
    <row r="758" spans="1:1" hidden="1">
      <c r="A758" t="s">
        <v>1618</v>
      </c>
    </row>
    <row r="759" spans="1:1" hidden="1">
      <c r="A759" t="s">
        <v>1619</v>
      </c>
    </row>
    <row r="760" spans="1:1" hidden="1">
      <c r="A760" t="s">
        <v>1620</v>
      </c>
    </row>
    <row r="761" spans="1:1" hidden="1">
      <c r="A761" t="s">
        <v>1621</v>
      </c>
    </row>
    <row r="762" spans="1:1" hidden="1">
      <c r="A762" t="s">
        <v>1622</v>
      </c>
    </row>
    <row r="763" spans="1:1" hidden="1">
      <c r="A763" t="s">
        <v>1623</v>
      </c>
    </row>
    <row r="764" spans="1:1" hidden="1">
      <c r="A764" t="s">
        <v>1624</v>
      </c>
    </row>
    <row r="765" spans="1:1" hidden="1">
      <c r="A765" t="s">
        <v>1625</v>
      </c>
    </row>
    <row r="766" spans="1:1" hidden="1">
      <c r="A766" t="s">
        <v>1626</v>
      </c>
    </row>
    <row r="767" spans="1:1" hidden="1">
      <c r="A767" t="s">
        <v>1627</v>
      </c>
    </row>
    <row r="768" spans="1:1" hidden="1">
      <c r="A768" t="s">
        <v>1628</v>
      </c>
    </row>
    <row r="769" spans="1:1" hidden="1">
      <c r="A769" t="s">
        <v>1629</v>
      </c>
    </row>
    <row r="770" spans="1:1" hidden="1">
      <c r="A770" t="s">
        <v>1630</v>
      </c>
    </row>
    <row r="771" spans="1:1" hidden="1">
      <c r="A771" t="s">
        <v>1631</v>
      </c>
    </row>
    <row r="772" spans="1:1" hidden="1">
      <c r="A772" t="s">
        <v>1632</v>
      </c>
    </row>
    <row r="773" spans="1:1" hidden="1">
      <c r="A773" t="s">
        <v>1633</v>
      </c>
    </row>
    <row r="774" spans="1:1" hidden="1">
      <c r="A774" t="s">
        <v>1634</v>
      </c>
    </row>
    <row r="775" spans="1:1" hidden="1">
      <c r="A775" t="s">
        <v>1635</v>
      </c>
    </row>
    <row r="776" spans="1:1" hidden="1">
      <c r="A776" t="s">
        <v>1636</v>
      </c>
    </row>
    <row r="777" spans="1:1" hidden="1">
      <c r="A777" t="s">
        <v>1637</v>
      </c>
    </row>
    <row r="778" spans="1:1" hidden="1">
      <c r="A778" t="s">
        <v>1638</v>
      </c>
    </row>
    <row r="779" spans="1:1" hidden="1">
      <c r="A779" t="s">
        <v>1639</v>
      </c>
    </row>
    <row r="780" spans="1:1" hidden="1">
      <c r="A780" t="s">
        <v>1640</v>
      </c>
    </row>
    <row r="781" spans="1:1" hidden="1">
      <c r="A781" t="s">
        <v>1641</v>
      </c>
    </row>
    <row r="782" spans="1:1" hidden="1">
      <c r="A782" t="s">
        <v>1642</v>
      </c>
    </row>
    <row r="783" spans="1:1" hidden="1">
      <c r="A783" t="s">
        <v>1643</v>
      </c>
    </row>
    <row r="784" spans="1:1" hidden="1">
      <c r="A784" t="s">
        <v>1644</v>
      </c>
    </row>
    <row r="785" spans="1:1" hidden="1">
      <c r="A785" t="s">
        <v>1645</v>
      </c>
    </row>
    <row r="786" spans="1:1" hidden="1">
      <c r="A786" t="s">
        <v>1646</v>
      </c>
    </row>
    <row r="787" spans="1:1" hidden="1">
      <c r="A787" t="s">
        <v>1647</v>
      </c>
    </row>
    <row r="788" spans="1:1" hidden="1">
      <c r="A788" t="s">
        <v>1648</v>
      </c>
    </row>
    <row r="789" spans="1:1" hidden="1">
      <c r="A789" t="s">
        <v>1649</v>
      </c>
    </row>
    <row r="790" spans="1:1" hidden="1">
      <c r="A790" t="s">
        <v>1650</v>
      </c>
    </row>
    <row r="791" spans="1:1" hidden="1">
      <c r="A791" t="s">
        <v>1651</v>
      </c>
    </row>
    <row r="792" spans="1:1" hidden="1">
      <c r="A792" t="s">
        <v>1652</v>
      </c>
    </row>
    <row r="793" spans="1:1" hidden="1">
      <c r="A793" t="s">
        <v>1653</v>
      </c>
    </row>
    <row r="794" spans="1:1" hidden="1">
      <c r="A794" t="s">
        <v>1654</v>
      </c>
    </row>
    <row r="795" spans="1:1" hidden="1">
      <c r="A795" t="s">
        <v>1655</v>
      </c>
    </row>
    <row r="796" spans="1:1" hidden="1">
      <c r="A796" t="s">
        <v>1656</v>
      </c>
    </row>
    <row r="797" spans="1:1" hidden="1">
      <c r="A797" t="s">
        <v>1657</v>
      </c>
    </row>
    <row r="798" spans="1:1" hidden="1">
      <c r="A798" t="s">
        <v>1658</v>
      </c>
    </row>
    <row r="799" spans="1:1" hidden="1">
      <c r="A799" t="s">
        <v>1659</v>
      </c>
    </row>
    <row r="800" spans="1:1" hidden="1">
      <c r="A800" t="s">
        <v>1660</v>
      </c>
    </row>
    <row r="801" spans="1:1" hidden="1">
      <c r="A801" t="s">
        <v>1661</v>
      </c>
    </row>
    <row r="802" spans="1:1" hidden="1">
      <c r="A802" t="s">
        <v>1662</v>
      </c>
    </row>
    <row r="803" spans="1:1" hidden="1">
      <c r="A803" t="s">
        <v>1663</v>
      </c>
    </row>
    <row r="804" spans="1:1" hidden="1">
      <c r="A804" t="s">
        <v>1664</v>
      </c>
    </row>
    <row r="805" spans="1:1" hidden="1">
      <c r="A805" t="s">
        <v>1665</v>
      </c>
    </row>
    <row r="806" spans="1:1" hidden="1">
      <c r="A806" t="s">
        <v>1666</v>
      </c>
    </row>
    <row r="807" spans="1:1" hidden="1">
      <c r="A807" t="s">
        <v>1667</v>
      </c>
    </row>
    <row r="808" spans="1:1" hidden="1">
      <c r="A808" t="s">
        <v>1668</v>
      </c>
    </row>
    <row r="809" spans="1:1" hidden="1">
      <c r="A809" t="s">
        <v>1669</v>
      </c>
    </row>
    <row r="810" spans="1:1" hidden="1">
      <c r="A810" t="s">
        <v>1670</v>
      </c>
    </row>
    <row r="811" spans="1:1" hidden="1">
      <c r="A811" t="s">
        <v>1671</v>
      </c>
    </row>
    <row r="812" spans="1:1" hidden="1">
      <c r="A812" t="s">
        <v>1672</v>
      </c>
    </row>
    <row r="813" spans="1:1" hidden="1">
      <c r="A813" t="s">
        <v>1673</v>
      </c>
    </row>
    <row r="814" spans="1:1" hidden="1">
      <c r="A814" t="s">
        <v>1674</v>
      </c>
    </row>
    <row r="815" spans="1:1" hidden="1">
      <c r="A815" t="s">
        <v>1675</v>
      </c>
    </row>
    <row r="816" spans="1:1" hidden="1">
      <c r="A816" t="s">
        <v>1676</v>
      </c>
    </row>
    <row r="817" spans="1:1" hidden="1">
      <c r="A817" t="s">
        <v>1677</v>
      </c>
    </row>
    <row r="818" spans="1:1" hidden="1">
      <c r="A818" t="s">
        <v>1678</v>
      </c>
    </row>
    <row r="819" spans="1:1" hidden="1">
      <c r="A819" t="s">
        <v>1679</v>
      </c>
    </row>
    <row r="820" spans="1:1" hidden="1">
      <c r="A820" t="s">
        <v>1680</v>
      </c>
    </row>
    <row r="821" spans="1:1" hidden="1">
      <c r="A821" t="s">
        <v>1681</v>
      </c>
    </row>
    <row r="822" spans="1:1" hidden="1">
      <c r="A822" t="s">
        <v>1682</v>
      </c>
    </row>
    <row r="823" spans="1:1" hidden="1">
      <c r="A823" t="s">
        <v>1683</v>
      </c>
    </row>
    <row r="824" spans="1:1" hidden="1">
      <c r="A824" t="s">
        <v>1684</v>
      </c>
    </row>
    <row r="825" spans="1:1" hidden="1">
      <c r="A825" t="s">
        <v>1685</v>
      </c>
    </row>
    <row r="826" spans="1:1" hidden="1">
      <c r="A826" t="s">
        <v>1686</v>
      </c>
    </row>
    <row r="827" spans="1:1" hidden="1">
      <c r="A827" t="s">
        <v>1687</v>
      </c>
    </row>
    <row r="828" spans="1:1" hidden="1">
      <c r="A828" t="s">
        <v>1688</v>
      </c>
    </row>
    <row r="829" spans="1:1" hidden="1">
      <c r="A829" t="s">
        <v>1689</v>
      </c>
    </row>
    <row r="830" spans="1:1" hidden="1">
      <c r="A830" t="s">
        <v>1690</v>
      </c>
    </row>
    <row r="831" spans="1:1" hidden="1">
      <c r="A831" t="s">
        <v>1691</v>
      </c>
    </row>
    <row r="832" spans="1:1" hidden="1">
      <c r="A832" t="s">
        <v>1692</v>
      </c>
    </row>
    <row r="833" spans="1:1" hidden="1">
      <c r="A833" t="s">
        <v>1693</v>
      </c>
    </row>
    <row r="834" spans="1:1" hidden="1">
      <c r="A834" t="s">
        <v>1694</v>
      </c>
    </row>
    <row r="835" spans="1:1" hidden="1">
      <c r="A835" t="s">
        <v>1695</v>
      </c>
    </row>
    <row r="836" spans="1:1" hidden="1">
      <c r="A836" t="s">
        <v>1696</v>
      </c>
    </row>
    <row r="837" spans="1:1" hidden="1">
      <c r="A837" t="s">
        <v>1697</v>
      </c>
    </row>
    <row r="838" spans="1:1" hidden="1">
      <c r="A838" t="s">
        <v>1698</v>
      </c>
    </row>
    <row r="839" spans="1:1" hidden="1">
      <c r="A839" t="s">
        <v>1699</v>
      </c>
    </row>
    <row r="840" spans="1:1" hidden="1">
      <c r="A840" t="s">
        <v>1700</v>
      </c>
    </row>
    <row r="841" spans="1:1" hidden="1">
      <c r="A841" t="s">
        <v>1701</v>
      </c>
    </row>
    <row r="842" spans="1:1" hidden="1">
      <c r="A842" t="s">
        <v>1702</v>
      </c>
    </row>
    <row r="843" spans="1:1" hidden="1">
      <c r="A843" t="s">
        <v>1703</v>
      </c>
    </row>
    <row r="844" spans="1:1" hidden="1">
      <c r="A844" t="s">
        <v>1704</v>
      </c>
    </row>
    <row r="845" spans="1:1" hidden="1">
      <c r="A845" t="s">
        <v>1705</v>
      </c>
    </row>
    <row r="846" spans="1:1" hidden="1">
      <c r="A846" t="s">
        <v>1706</v>
      </c>
    </row>
    <row r="847" spans="1:1" hidden="1">
      <c r="A847" t="s">
        <v>1707</v>
      </c>
    </row>
    <row r="848" spans="1:1" hidden="1">
      <c r="A848" t="s">
        <v>1708</v>
      </c>
    </row>
    <row r="849" spans="1:1" hidden="1">
      <c r="A849" t="s">
        <v>1709</v>
      </c>
    </row>
    <row r="850" spans="1:1" hidden="1">
      <c r="A850" t="s">
        <v>1710</v>
      </c>
    </row>
    <row r="851" spans="1:1" hidden="1">
      <c r="A851" t="s">
        <v>1711</v>
      </c>
    </row>
    <row r="852" spans="1:1" hidden="1">
      <c r="A852" t="s">
        <v>1712</v>
      </c>
    </row>
    <row r="853" spans="1:1" hidden="1">
      <c r="A853" t="s">
        <v>1713</v>
      </c>
    </row>
    <row r="854" spans="1:1" hidden="1">
      <c r="A854" t="s">
        <v>1714</v>
      </c>
    </row>
    <row r="855" spans="1:1" hidden="1">
      <c r="A855" t="s">
        <v>1715</v>
      </c>
    </row>
    <row r="856" spans="1:1" hidden="1">
      <c r="A856" t="s">
        <v>1716</v>
      </c>
    </row>
    <row r="857" spans="1:1" hidden="1">
      <c r="A857" t="s">
        <v>1717</v>
      </c>
    </row>
    <row r="858" spans="1:1" hidden="1">
      <c r="A858" t="s">
        <v>1718</v>
      </c>
    </row>
    <row r="859" spans="1:1" hidden="1">
      <c r="A859" t="s">
        <v>1719</v>
      </c>
    </row>
    <row r="860" spans="1:1" hidden="1">
      <c r="A860" t="s">
        <v>1720</v>
      </c>
    </row>
    <row r="861" spans="1:1" hidden="1">
      <c r="A861" t="s">
        <v>1721</v>
      </c>
    </row>
    <row r="862" spans="1:1" hidden="1">
      <c r="A862" t="s">
        <v>1722</v>
      </c>
    </row>
    <row r="863" spans="1:1" hidden="1">
      <c r="A863" t="s">
        <v>1723</v>
      </c>
    </row>
    <row r="864" spans="1:1" hidden="1">
      <c r="A864" t="s">
        <v>1724</v>
      </c>
    </row>
    <row r="865" spans="1:1" hidden="1">
      <c r="A865" t="s">
        <v>1725</v>
      </c>
    </row>
    <row r="866" spans="1:1" hidden="1">
      <c r="A866" t="s">
        <v>1726</v>
      </c>
    </row>
    <row r="867" spans="1:1" hidden="1">
      <c r="A867" t="s">
        <v>1727</v>
      </c>
    </row>
    <row r="868" spans="1:1" hidden="1">
      <c r="A868" t="s">
        <v>1728</v>
      </c>
    </row>
    <row r="869" spans="1:1" hidden="1">
      <c r="A869" t="s">
        <v>1729</v>
      </c>
    </row>
    <row r="870" spans="1:1" hidden="1">
      <c r="A870" t="s">
        <v>1730</v>
      </c>
    </row>
    <row r="871" spans="1:1" hidden="1">
      <c r="A871" t="s">
        <v>1731</v>
      </c>
    </row>
    <row r="872" spans="1:1" hidden="1">
      <c r="A872" t="s">
        <v>1732</v>
      </c>
    </row>
    <row r="873" spans="1:1" hidden="1">
      <c r="A873" t="s">
        <v>1733</v>
      </c>
    </row>
    <row r="874" spans="1:1" hidden="1">
      <c r="A874" t="s">
        <v>1734</v>
      </c>
    </row>
    <row r="875" spans="1:1" hidden="1">
      <c r="A875" t="s">
        <v>1735</v>
      </c>
    </row>
    <row r="876" spans="1:1" hidden="1">
      <c r="A876" t="s">
        <v>1736</v>
      </c>
    </row>
    <row r="877" spans="1:1" hidden="1">
      <c r="A877" t="s">
        <v>1737</v>
      </c>
    </row>
    <row r="878" spans="1:1" hidden="1">
      <c r="A878" t="s">
        <v>1738</v>
      </c>
    </row>
    <row r="879" spans="1:1" hidden="1">
      <c r="A879" t="s">
        <v>1739</v>
      </c>
    </row>
    <row r="880" spans="1:1" hidden="1">
      <c r="A880" t="s">
        <v>1740</v>
      </c>
    </row>
    <row r="881" spans="1:1" hidden="1">
      <c r="A881" t="s">
        <v>1741</v>
      </c>
    </row>
    <row r="882" spans="1:1" hidden="1">
      <c r="A882" t="s">
        <v>1742</v>
      </c>
    </row>
    <row r="883" spans="1:1" hidden="1">
      <c r="A883" t="s">
        <v>1743</v>
      </c>
    </row>
    <row r="884" spans="1:1" hidden="1">
      <c r="A884" t="s">
        <v>1744</v>
      </c>
    </row>
    <row r="885" spans="1:1" hidden="1">
      <c r="A885" t="s">
        <v>1745</v>
      </c>
    </row>
    <row r="886" spans="1:1" hidden="1">
      <c r="A886" t="s">
        <v>1746</v>
      </c>
    </row>
    <row r="887" spans="1:1" hidden="1">
      <c r="A887" t="s">
        <v>1747</v>
      </c>
    </row>
    <row r="888" spans="1:1" hidden="1">
      <c r="A888" t="s">
        <v>1748</v>
      </c>
    </row>
    <row r="889" spans="1:1" hidden="1">
      <c r="A889" t="s">
        <v>1749</v>
      </c>
    </row>
    <row r="890" spans="1:1" hidden="1">
      <c r="A890" t="s">
        <v>1750</v>
      </c>
    </row>
    <row r="891" spans="1:1" hidden="1">
      <c r="A891" t="s">
        <v>1751</v>
      </c>
    </row>
    <row r="892" spans="1:1" hidden="1">
      <c r="A892" t="s">
        <v>1752</v>
      </c>
    </row>
    <row r="893" spans="1:1" hidden="1">
      <c r="A893" t="s">
        <v>1753</v>
      </c>
    </row>
    <row r="894" spans="1:1" hidden="1">
      <c r="A894" t="s">
        <v>1754</v>
      </c>
    </row>
    <row r="895" spans="1:1" hidden="1">
      <c r="A895" t="s">
        <v>1755</v>
      </c>
    </row>
    <row r="896" spans="1:1" hidden="1">
      <c r="A896" t="s">
        <v>1756</v>
      </c>
    </row>
    <row r="897" spans="1:1" hidden="1">
      <c r="A897" t="s">
        <v>1757</v>
      </c>
    </row>
    <row r="898" spans="1:1" hidden="1">
      <c r="A898" t="s">
        <v>1758</v>
      </c>
    </row>
    <row r="899" spans="1:1" hidden="1">
      <c r="A899" t="s">
        <v>1759</v>
      </c>
    </row>
    <row r="900" spans="1:1" hidden="1">
      <c r="A900" t="s">
        <v>1760</v>
      </c>
    </row>
    <row r="901" spans="1:1" hidden="1">
      <c r="A901" t="s">
        <v>1761</v>
      </c>
    </row>
    <row r="902" spans="1:1" hidden="1">
      <c r="A902" t="s">
        <v>1762</v>
      </c>
    </row>
    <row r="903" spans="1:1" hidden="1">
      <c r="A903" t="s">
        <v>1763</v>
      </c>
    </row>
    <row r="904" spans="1:1" hidden="1">
      <c r="A904" t="s">
        <v>1764</v>
      </c>
    </row>
    <row r="905" spans="1:1" hidden="1">
      <c r="A905" t="s">
        <v>1765</v>
      </c>
    </row>
    <row r="906" spans="1:1" hidden="1">
      <c r="A906" t="s">
        <v>1766</v>
      </c>
    </row>
    <row r="907" spans="1:1" hidden="1">
      <c r="A907" t="s">
        <v>1767</v>
      </c>
    </row>
    <row r="908" spans="1:1" hidden="1">
      <c r="A908" t="s">
        <v>1768</v>
      </c>
    </row>
    <row r="909" spans="1:1" hidden="1">
      <c r="A909" t="s">
        <v>1769</v>
      </c>
    </row>
    <row r="910" spans="1:1" hidden="1">
      <c r="A910" t="s">
        <v>1770</v>
      </c>
    </row>
    <row r="911" spans="1:1" hidden="1">
      <c r="A911" t="s">
        <v>1771</v>
      </c>
    </row>
    <row r="912" spans="1:1" hidden="1">
      <c r="A912" t="s">
        <v>1772</v>
      </c>
    </row>
    <row r="913" spans="1:1" hidden="1">
      <c r="A913" t="s">
        <v>1773</v>
      </c>
    </row>
    <row r="914" spans="1:1" hidden="1">
      <c r="A914" t="s">
        <v>1774</v>
      </c>
    </row>
    <row r="915" spans="1:1" hidden="1">
      <c r="A915" t="s">
        <v>1775</v>
      </c>
    </row>
    <row r="916" spans="1:1" hidden="1">
      <c r="A916" t="s">
        <v>1776</v>
      </c>
    </row>
    <row r="917" spans="1:1" hidden="1">
      <c r="A917" t="s">
        <v>1777</v>
      </c>
    </row>
    <row r="918" spans="1:1" hidden="1">
      <c r="A918" t="s">
        <v>1778</v>
      </c>
    </row>
    <row r="919" spans="1:1" hidden="1">
      <c r="A919" t="s">
        <v>1779</v>
      </c>
    </row>
    <row r="920" spans="1:1" hidden="1">
      <c r="A920" t="s">
        <v>1780</v>
      </c>
    </row>
    <row r="921" spans="1:1" hidden="1">
      <c r="A921" t="s">
        <v>1781</v>
      </c>
    </row>
    <row r="922" spans="1:1" hidden="1">
      <c r="A922" t="s">
        <v>1782</v>
      </c>
    </row>
    <row r="923" spans="1:1" hidden="1">
      <c r="A923" t="s">
        <v>1783</v>
      </c>
    </row>
    <row r="924" spans="1:1" hidden="1">
      <c r="A924" t="s">
        <v>1784</v>
      </c>
    </row>
    <row r="925" spans="1:1" hidden="1">
      <c r="A925" t="s">
        <v>1785</v>
      </c>
    </row>
    <row r="926" spans="1:1" hidden="1">
      <c r="A926" t="s">
        <v>1786</v>
      </c>
    </row>
    <row r="927" spans="1:1" hidden="1">
      <c r="A927" t="s">
        <v>1787</v>
      </c>
    </row>
    <row r="928" spans="1:1" hidden="1">
      <c r="A928" t="s">
        <v>1788</v>
      </c>
    </row>
    <row r="929" spans="1:1" hidden="1">
      <c r="A929" t="s">
        <v>1789</v>
      </c>
    </row>
    <row r="930" spans="1:1" hidden="1">
      <c r="A930" t="s">
        <v>1790</v>
      </c>
    </row>
    <row r="931" spans="1:1" hidden="1">
      <c r="A931" t="s">
        <v>1791</v>
      </c>
    </row>
    <row r="932" spans="1:1" hidden="1">
      <c r="A932" t="s">
        <v>1792</v>
      </c>
    </row>
    <row r="933" spans="1:1" hidden="1">
      <c r="A933" t="s">
        <v>1793</v>
      </c>
    </row>
    <row r="934" spans="1:1" hidden="1">
      <c r="A934" t="s">
        <v>1794</v>
      </c>
    </row>
    <row r="935" spans="1:1" hidden="1">
      <c r="A935" t="s">
        <v>1795</v>
      </c>
    </row>
    <row r="936" spans="1:1" hidden="1">
      <c r="A936" t="s">
        <v>1796</v>
      </c>
    </row>
    <row r="937" spans="1:1" hidden="1">
      <c r="A937" t="s">
        <v>1797</v>
      </c>
    </row>
    <row r="938" spans="1:1" hidden="1">
      <c r="A938" t="s">
        <v>1798</v>
      </c>
    </row>
    <row r="939" spans="1:1" hidden="1">
      <c r="A939" t="s">
        <v>1799</v>
      </c>
    </row>
    <row r="940" spans="1:1" hidden="1">
      <c r="A940" t="s">
        <v>1800</v>
      </c>
    </row>
    <row r="941" spans="1:1" hidden="1">
      <c r="A941" t="s">
        <v>1801</v>
      </c>
    </row>
    <row r="942" spans="1:1" hidden="1">
      <c r="A942" t="s">
        <v>1802</v>
      </c>
    </row>
    <row r="943" spans="1:1" hidden="1">
      <c r="A943" t="s">
        <v>1803</v>
      </c>
    </row>
    <row r="944" spans="1:1" hidden="1">
      <c r="A944" t="s">
        <v>1804</v>
      </c>
    </row>
    <row r="945" spans="1:1" hidden="1">
      <c r="A945" t="s">
        <v>1805</v>
      </c>
    </row>
    <row r="946" spans="1:1" hidden="1">
      <c r="A946" t="s">
        <v>1806</v>
      </c>
    </row>
    <row r="947" spans="1:1" hidden="1">
      <c r="A947" t="s">
        <v>1807</v>
      </c>
    </row>
    <row r="948" spans="1:1" hidden="1">
      <c r="A948" t="s">
        <v>1808</v>
      </c>
    </row>
    <row r="949" spans="1:1" hidden="1">
      <c r="A949" t="s">
        <v>1809</v>
      </c>
    </row>
    <row r="950" spans="1:1" hidden="1">
      <c r="A950" t="s">
        <v>1810</v>
      </c>
    </row>
    <row r="951" spans="1:1" hidden="1">
      <c r="A951" t="s">
        <v>1811</v>
      </c>
    </row>
    <row r="952" spans="1:1" hidden="1">
      <c r="A952" t="s">
        <v>1812</v>
      </c>
    </row>
    <row r="953" spans="1:1" hidden="1">
      <c r="A953" t="s">
        <v>1813</v>
      </c>
    </row>
    <row r="954" spans="1:1" hidden="1">
      <c r="A954" t="s">
        <v>1814</v>
      </c>
    </row>
    <row r="955" spans="1:1" hidden="1">
      <c r="A955" t="s">
        <v>1815</v>
      </c>
    </row>
    <row r="956" spans="1:1" hidden="1">
      <c r="A956" t="s">
        <v>1816</v>
      </c>
    </row>
    <row r="957" spans="1:1" hidden="1">
      <c r="A957" t="s">
        <v>1817</v>
      </c>
    </row>
    <row r="958" spans="1:1" hidden="1">
      <c r="A958" t="s">
        <v>1818</v>
      </c>
    </row>
    <row r="959" spans="1:1" hidden="1">
      <c r="A959" t="s">
        <v>1819</v>
      </c>
    </row>
    <row r="960" spans="1:1" hidden="1">
      <c r="A960" t="s">
        <v>1820</v>
      </c>
    </row>
    <row r="961" spans="1:1" hidden="1">
      <c r="A961" t="s">
        <v>1821</v>
      </c>
    </row>
    <row r="962" spans="1:1" hidden="1">
      <c r="A962" t="s">
        <v>1822</v>
      </c>
    </row>
    <row r="963" spans="1:1" hidden="1">
      <c r="A963" t="s">
        <v>1823</v>
      </c>
    </row>
    <row r="964" spans="1:1" hidden="1">
      <c r="A964" t="s">
        <v>1824</v>
      </c>
    </row>
    <row r="965" spans="1:1" hidden="1">
      <c r="A965" t="s">
        <v>1825</v>
      </c>
    </row>
    <row r="966" spans="1:1" hidden="1">
      <c r="A966" t="s">
        <v>1826</v>
      </c>
    </row>
    <row r="967" spans="1:1" hidden="1">
      <c r="A967" t="s">
        <v>1827</v>
      </c>
    </row>
    <row r="968" spans="1:1" hidden="1">
      <c r="A968" t="s">
        <v>1828</v>
      </c>
    </row>
    <row r="969" spans="1:1" hidden="1">
      <c r="A969" t="s">
        <v>1829</v>
      </c>
    </row>
    <row r="970" spans="1:1" hidden="1">
      <c r="A970" t="s">
        <v>1830</v>
      </c>
    </row>
    <row r="971" spans="1:1" hidden="1">
      <c r="A971" t="s">
        <v>1831</v>
      </c>
    </row>
    <row r="972" spans="1:1" hidden="1">
      <c r="A972" t="s">
        <v>1832</v>
      </c>
    </row>
    <row r="973" spans="1:1" hidden="1">
      <c r="A973" t="s">
        <v>1833</v>
      </c>
    </row>
    <row r="974" spans="1:1" hidden="1">
      <c r="A974" t="s">
        <v>1834</v>
      </c>
    </row>
    <row r="975" spans="1:1" hidden="1">
      <c r="A975" t="s">
        <v>1835</v>
      </c>
    </row>
    <row r="976" spans="1:1" hidden="1">
      <c r="A976" t="s">
        <v>1836</v>
      </c>
    </row>
    <row r="977" spans="1:1" hidden="1">
      <c r="A977" t="s">
        <v>1837</v>
      </c>
    </row>
    <row r="978" spans="1:1" hidden="1">
      <c r="A978" t="s">
        <v>1838</v>
      </c>
    </row>
    <row r="979" spans="1:1" hidden="1">
      <c r="A979" t="s">
        <v>1839</v>
      </c>
    </row>
    <row r="980" spans="1:1" hidden="1">
      <c r="A980" t="s">
        <v>1840</v>
      </c>
    </row>
    <row r="981" spans="1:1" hidden="1">
      <c r="A981" t="s">
        <v>1841</v>
      </c>
    </row>
    <row r="982" spans="1:1" hidden="1">
      <c r="A982" t="s">
        <v>1842</v>
      </c>
    </row>
    <row r="983" spans="1:1" hidden="1">
      <c r="A983" t="s">
        <v>1843</v>
      </c>
    </row>
    <row r="984" spans="1:1" hidden="1">
      <c r="A984" t="s">
        <v>1844</v>
      </c>
    </row>
    <row r="985" spans="1:1" hidden="1">
      <c r="A985" t="s">
        <v>1845</v>
      </c>
    </row>
    <row r="986" spans="1:1" hidden="1">
      <c r="A986" t="s">
        <v>1846</v>
      </c>
    </row>
    <row r="987" spans="1:1" hidden="1">
      <c r="A987" t="s">
        <v>1847</v>
      </c>
    </row>
    <row r="988" spans="1:1" hidden="1">
      <c r="A988" t="s">
        <v>1848</v>
      </c>
    </row>
    <row r="989" spans="1:1" hidden="1">
      <c r="A989" t="s">
        <v>1849</v>
      </c>
    </row>
    <row r="990" spans="1:1" hidden="1">
      <c r="A990" t="s">
        <v>1850</v>
      </c>
    </row>
    <row r="991" spans="1:1" hidden="1">
      <c r="A991" t="s">
        <v>1851</v>
      </c>
    </row>
    <row r="992" spans="1:1" hidden="1">
      <c r="A992" t="s">
        <v>1852</v>
      </c>
    </row>
    <row r="993" spans="1:1" hidden="1">
      <c r="A993" t="s">
        <v>1853</v>
      </c>
    </row>
    <row r="994" spans="1:1" hidden="1">
      <c r="A994" t="s">
        <v>1854</v>
      </c>
    </row>
    <row r="995" spans="1:1" hidden="1">
      <c r="A995" t="s">
        <v>1855</v>
      </c>
    </row>
    <row r="996" spans="1:1" hidden="1">
      <c r="A996" t="s">
        <v>1856</v>
      </c>
    </row>
    <row r="997" spans="1:1" hidden="1">
      <c r="A997" t="s">
        <v>1857</v>
      </c>
    </row>
    <row r="998" spans="1:1" hidden="1">
      <c r="A998" t="s">
        <v>1858</v>
      </c>
    </row>
    <row r="999" spans="1:1" hidden="1">
      <c r="A999" t="s">
        <v>1859</v>
      </c>
    </row>
    <row r="1000" spans="1:1" hidden="1">
      <c r="A1000" t="s">
        <v>1860</v>
      </c>
    </row>
    <row r="1001" spans="1:1" hidden="1">
      <c r="A1001" t="s">
        <v>1861</v>
      </c>
    </row>
    <row r="1002" spans="1:1" hidden="1">
      <c r="A1002" t="s">
        <v>1862</v>
      </c>
    </row>
    <row r="1003" spans="1:1" hidden="1">
      <c r="A1003" t="s">
        <v>1863</v>
      </c>
    </row>
    <row r="1004" spans="1:1" hidden="1">
      <c r="A1004" t="s">
        <v>1864</v>
      </c>
    </row>
    <row r="1005" spans="1:1" hidden="1">
      <c r="A1005" t="s">
        <v>1865</v>
      </c>
    </row>
    <row r="1006" spans="1:1" hidden="1">
      <c r="A1006" t="s">
        <v>1866</v>
      </c>
    </row>
    <row r="1007" spans="1:1" hidden="1">
      <c r="A1007" t="s">
        <v>1867</v>
      </c>
    </row>
    <row r="1008" spans="1:1" hidden="1">
      <c r="A1008" t="s">
        <v>1868</v>
      </c>
    </row>
    <row r="1009" spans="1:1" hidden="1">
      <c r="A1009" t="s">
        <v>1869</v>
      </c>
    </row>
    <row r="1010" spans="1:1" hidden="1">
      <c r="A1010" t="s">
        <v>1870</v>
      </c>
    </row>
    <row r="1011" spans="1:1" hidden="1">
      <c r="A1011" t="s">
        <v>1871</v>
      </c>
    </row>
    <row r="1012" spans="1:1" hidden="1">
      <c r="A1012" t="s">
        <v>1872</v>
      </c>
    </row>
    <row r="1013" spans="1:1" hidden="1">
      <c r="A1013" t="s">
        <v>1873</v>
      </c>
    </row>
    <row r="1014" spans="1:1" hidden="1">
      <c r="A1014" t="s">
        <v>1874</v>
      </c>
    </row>
    <row r="1015" spans="1:1" hidden="1">
      <c r="A1015" t="s">
        <v>1875</v>
      </c>
    </row>
    <row r="1016" spans="1:1" hidden="1">
      <c r="A1016" t="s">
        <v>1876</v>
      </c>
    </row>
    <row r="1017" spans="1:1" hidden="1">
      <c r="A1017" t="s">
        <v>1877</v>
      </c>
    </row>
    <row r="1018" spans="1:1" hidden="1">
      <c r="A1018" t="s">
        <v>1878</v>
      </c>
    </row>
    <row r="1019" spans="1:1" hidden="1">
      <c r="A1019" t="s">
        <v>1879</v>
      </c>
    </row>
    <row r="1020" spans="1:1" hidden="1">
      <c r="A1020" t="s">
        <v>1880</v>
      </c>
    </row>
    <row r="1021" spans="1:1" hidden="1">
      <c r="A1021" t="s">
        <v>1881</v>
      </c>
    </row>
    <row r="1022" spans="1:1" hidden="1">
      <c r="A1022" t="s">
        <v>1882</v>
      </c>
    </row>
    <row r="1023" spans="1:1" hidden="1">
      <c r="A1023" t="s">
        <v>1883</v>
      </c>
    </row>
    <row r="1024" spans="1:1" hidden="1">
      <c r="A1024" t="s">
        <v>1884</v>
      </c>
    </row>
    <row r="1025" spans="1:1" hidden="1">
      <c r="A1025" t="s">
        <v>1885</v>
      </c>
    </row>
    <row r="1026" spans="1:1" hidden="1">
      <c r="A1026" t="s">
        <v>1886</v>
      </c>
    </row>
    <row r="1027" spans="1:1" hidden="1">
      <c r="A1027" t="s">
        <v>1887</v>
      </c>
    </row>
    <row r="1028" spans="1:1" hidden="1">
      <c r="A1028" t="s">
        <v>1888</v>
      </c>
    </row>
    <row r="1029" spans="1:1" hidden="1">
      <c r="A1029" t="s">
        <v>1889</v>
      </c>
    </row>
    <row r="1030" spans="1:1" hidden="1">
      <c r="A1030" t="s">
        <v>1890</v>
      </c>
    </row>
    <row r="1031" spans="1:1" hidden="1">
      <c r="A1031" t="s">
        <v>1891</v>
      </c>
    </row>
    <row r="1032" spans="1:1" hidden="1">
      <c r="A1032" t="s">
        <v>1892</v>
      </c>
    </row>
    <row r="1033" spans="1:1" hidden="1">
      <c r="A1033" t="s">
        <v>1893</v>
      </c>
    </row>
    <row r="1034" spans="1:1" hidden="1">
      <c r="A1034" t="s">
        <v>1894</v>
      </c>
    </row>
    <row r="1035" spans="1:1" hidden="1">
      <c r="A1035" t="s">
        <v>1895</v>
      </c>
    </row>
    <row r="1036" spans="1:1" hidden="1">
      <c r="A1036" t="s">
        <v>1896</v>
      </c>
    </row>
    <row r="1037" spans="1:1" hidden="1">
      <c r="A1037" t="s">
        <v>1897</v>
      </c>
    </row>
    <row r="1038" spans="1:1" hidden="1">
      <c r="A1038" t="s">
        <v>1898</v>
      </c>
    </row>
    <row r="1039" spans="1:1" hidden="1">
      <c r="A1039" t="s">
        <v>1899</v>
      </c>
    </row>
    <row r="1040" spans="1:1" hidden="1">
      <c r="A1040" t="s">
        <v>1900</v>
      </c>
    </row>
    <row r="1041" spans="1:1" hidden="1">
      <c r="A1041" t="s">
        <v>1901</v>
      </c>
    </row>
    <row r="1042" spans="1:1" hidden="1">
      <c r="A1042" t="s">
        <v>1902</v>
      </c>
    </row>
    <row r="1043" spans="1:1" hidden="1">
      <c r="A1043" t="s">
        <v>1903</v>
      </c>
    </row>
    <row r="1044" spans="1:1" hidden="1">
      <c r="A1044" t="s">
        <v>1904</v>
      </c>
    </row>
    <row r="1045" spans="1:1" hidden="1">
      <c r="A1045" t="s">
        <v>1905</v>
      </c>
    </row>
    <row r="1046" spans="1:1" hidden="1">
      <c r="A1046" t="s">
        <v>1906</v>
      </c>
    </row>
    <row r="1047" spans="1:1" hidden="1">
      <c r="A1047" t="s">
        <v>1907</v>
      </c>
    </row>
    <row r="1048" spans="1:1" hidden="1">
      <c r="A1048" t="s">
        <v>1908</v>
      </c>
    </row>
    <row r="1049" spans="1:1" hidden="1">
      <c r="A1049" t="s">
        <v>1909</v>
      </c>
    </row>
    <row r="1050" spans="1:1" hidden="1">
      <c r="A1050" t="s">
        <v>1910</v>
      </c>
    </row>
    <row r="1051" spans="1:1" hidden="1">
      <c r="A1051" t="s">
        <v>1911</v>
      </c>
    </row>
    <row r="1052" spans="1:1" hidden="1">
      <c r="A1052" t="s">
        <v>1912</v>
      </c>
    </row>
    <row r="1053" spans="1:1" hidden="1">
      <c r="A1053" t="s">
        <v>1913</v>
      </c>
    </row>
    <row r="1054" spans="1:1" hidden="1">
      <c r="A1054" t="s">
        <v>1914</v>
      </c>
    </row>
    <row r="1055" spans="1:1" hidden="1">
      <c r="A1055" t="s">
        <v>1915</v>
      </c>
    </row>
    <row r="1056" spans="1:1" hidden="1">
      <c r="A1056" t="s">
        <v>1916</v>
      </c>
    </row>
    <row r="1057" spans="1:1" hidden="1">
      <c r="A1057" t="s">
        <v>1917</v>
      </c>
    </row>
    <row r="1058" spans="1:1" hidden="1">
      <c r="A1058" t="s">
        <v>1918</v>
      </c>
    </row>
    <row r="1059" spans="1:1" hidden="1">
      <c r="A1059" t="s">
        <v>1919</v>
      </c>
    </row>
    <row r="1060" spans="1:1" hidden="1">
      <c r="A1060" t="s">
        <v>1920</v>
      </c>
    </row>
    <row r="1061" spans="1:1" hidden="1">
      <c r="A1061" t="s">
        <v>1921</v>
      </c>
    </row>
    <row r="1062" spans="1:1" hidden="1">
      <c r="A1062" t="s">
        <v>1922</v>
      </c>
    </row>
    <row r="1063" spans="1:1" hidden="1">
      <c r="A1063" t="s">
        <v>1923</v>
      </c>
    </row>
    <row r="1064" spans="1:1" hidden="1">
      <c r="A1064" t="s">
        <v>1924</v>
      </c>
    </row>
    <row r="1065" spans="1:1" hidden="1">
      <c r="A1065" t="s">
        <v>1925</v>
      </c>
    </row>
    <row r="1066" spans="1:1" hidden="1">
      <c r="A1066" t="s">
        <v>1926</v>
      </c>
    </row>
    <row r="1067" spans="1:1" hidden="1">
      <c r="A1067" t="s">
        <v>1927</v>
      </c>
    </row>
    <row r="1068" spans="1:1" hidden="1">
      <c r="A1068" t="s">
        <v>1928</v>
      </c>
    </row>
    <row r="1069" spans="1:1" hidden="1">
      <c r="A1069" t="s">
        <v>1929</v>
      </c>
    </row>
    <row r="1070" spans="1:1" hidden="1">
      <c r="A1070" t="s">
        <v>1930</v>
      </c>
    </row>
    <row r="1071" spans="1:1" hidden="1">
      <c r="A1071" t="s">
        <v>1931</v>
      </c>
    </row>
    <row r="1072" spans="1:1" hidden="1">
      <c r="A1072" t="s">
        <v>1932</v>
      </c>
    </row>
    <row r="1073" spans="1:1" hidden="1">
      <c r="A1073" t="s">
        <v>1933</v>
      </c>
    </row>
    <row r="1074" spans="1:1" hidden="1">
      <c r="A1074" t="s">
        <v>1934</v>
      </c>
    </row>
    <row r="1075" spans="1:1" hidden="1">
      <c r="A1075" t="s">
        <v>1935</v>
      </c>
    </row>
    <row r="1076" spans="1:1" hidden="1">
      <c r="A1076" t="s">
        <v>1936</v>
      </c>
    </row>
    <row r="1077" spans="1:1" hidden="1">
      <c r="A1077" t="s">
        <v>1937</v>
      </c>
    </row>
    <row r="1078" spans="1:1" hidden="1">
      <c r="A1078" t="s">
        <v>1938</v>
      </c>
    </row>
    <row r="1079" spans="1:1" hidden="1">
      <c r="A1079" t="s">
        <v>1939</v>
      </c>
    </row>
    <row r="1080" spans="1:1" hidden="1">
      <c r="A1080" t="s">
        <v>1940</v>
      </c>
    </row>
    <row r="1081" spans="1:1" hidden="1">
      <c r="A1081" t="s">
        <v>1941</v>
      </c>
    </row>
    <row r="1082" spans="1:1" hidden="1">
      <c r="A1082" t="s">
        <v>1942</v>
      </c>
    </row>
    <row r="1083" spans="1:1" hidden="1">
      <c r="A1083" t="s">
        <v>1943</v>
      </c>
    </row>
    <row r="1084" spans="1:1" hidden="1">
      <c r="A1084" t="s">
        <v>1944</v>
      </c>
    </row>
    <row r="1085" spans="1:1" hidden="1">
      <c r="A1085" t="s">
        <v>1945</v>
      </c>
    </row>
    <row r="1086" spans="1:1" hidden="1">
      <c r="A1086" t="s">
        <v>1946</v>
      </c>
    </row>
    <row r="1087" spans="1:1" hidden="1">
      <c r="A1087" t="s">
        <v>1947</v>
      </c>
    </row>
    <row r="1088" spans="1:1" hidden="1">
      <c r="A1088" t="s">
        <v>1948</v>
      </c>
    </row>
    <row r="1089" spans="1:1" hidden="1">
      <c r="A1089" t="s">
        <v>1949</v>
      </c>
    </row>
    <row r="1090" spans="1:1" hidden="1">
      <c r="A1090" t="s">
        <v>1950</v>
      </c>
    </row>
    <row r="1091" spans="1:1" hidden="1">
      <c r="A1091" t="s">
        <v>1951</v>
      </c>
    </row>
    <row r="1092" spans="1:1" hidden="1">
      <c r="A1092" t="s">
        <v>1952</v>
      </c>
    </row>
    <row r="1093" spans="1:1" hidden="1">
      <c r="A1093" t="s">
        <v>1953</v>
      </c>
    </row>
    <row r="1094" spans="1:1" hidden="1">
      <c r="A1094" t="s">
        <v>1954</v>
      </c>
    </row>
    <row r="1095" spans="1:1" hidden="1">
      <c r="A1095" t="s">
        <v>1955</v>
      </c>
    </row>
    <row r="1096" spans="1:1" hidden="1">
      <c r="A1096" t="s">
        <v>1956</v>
      </c>
    </row>
    <row r="1097" spans="1:1" hidden="1">
      <c r="A1097" t="s">
        <v>1957</v>
      </c>
    </row>
    <row r="1098" spans="1:1" hidden="1">
      <c r="A1098" t="s">
        <v>1958</v>
      </c>
    </row>
    <row r="1099" spans="1:1" hidden="1">
      <c r="A1099" t="s">
        <v>1959</v>
      </c>
    </row>
    <row r="1100" spans="1:1" hidden="1">
      <c r="A1100" t="s">
        <v>1960</v>
      </c>
    </row>
    <row r="1101" spans="1:1" hidden="1">
      <c r="A1101" t="s">
        <v>1961</v>
      </c>
    </row>
    <row r="1102" spans="1:1" hidden="1">
      <c r="A1102" t="s">
        <v>1962</v>
      </c>
    </row>
    <row r="1103" spans="1:1" hidden="1">
      <c r="A1103" t="s">
        <v>1963</v>
      </c>
    </row>
    <row r="1104" spans="1:1" hidden="1">
      <c r="A1104" t="s">
        <v>1964</v>
      </c>
    </row>
    <row r="1105" spans="1:1" hidden="1">
      <c r="A1105" t="s">
        <v>1965</v>
      </c>
    </row>
    <row r="1106" spans="1:1" hidden="1">
      <c r="A1106" t="s">
        <v>1966</v>
      </c>
    </row>
    <row r="1107" spans="1:1" hidden="1">
      <c r="A1107" t="s">
        <v>1967</v>
      </c>
    </row>
    <row r="1108" spans="1:1" hidden="1">
      <c r="A1108" t="s">
        <v>1968</v>
      </c>
    </row>
    <row r="1109" spans="1:1" hidden="1">
      <c r="A1109" t="s">
        <v>1969</v>
      </c>
    </row>
    <row r="1110" spans="1:1" hidden="1">
      <c r="A1110" t="s">
        <v>1970</v>
      </c>
    </row>
    <row r="1111" spans="1:1" hidden="1">
      <c r="A1111" t="s">
        <v>1971</v>
      </c>
    </row>
    <row r="1112" spans="1:1" hidden="1">
      <c r="A1112" t="s">
        <v>1972</v>
      </c>
    </row>
    <row r="1113" spans="1:1" hidden="1">
      <c r="A1113" t="s">
        <v>1973</v>
      </c>
    </row>
    <row r="1114" spans="1:1" hidden="1">
      <c r="A1114" t="s">
        <v>1974</v>
      </c>
    </row>
    <row r="1115" spans="1:1" hidden="1">
      <c r="A1115" t="s">
        <v>1975</v>
      </c>
    </row>
    <row r="1116" spans="1:1" hidden="1">
      <c r="A1116" t="s">
        <v>1976</v>
      </c>
    </row>
    <row r="1117" spans="1:1" hidden="1">
      <c r="A1117" t="s">
        <v>1977</v>
      </c>
    </row>
    <row r="1118" spans="1:1" hidden="1">
      <c r="A1118" t="s">
        <v>1978</v>
      </c>
    </row>
    <row r="1119" spans="1:1" hidden="1">
      <c r="A1119" t="s">
        <v>1979</v>
      </c>
    </row>
    <row r="1120" spans="1:1" hidden="1">
      <c r="A1120" t="s">
        <v>1980</v>
      </c>
    </row>
    <row r="1121" spans="1:1" hidden="1">
      <c r="A1121" t="s">
        <v>1981</v>
      </c>
    </row>
    <row r="1122" spans="1:1" hidden="1">
      <c r="A1122" t="s">
        <v>1982</v>
      </c>
    </row>
    <row r="1123" spans="1:1" hidden="1">
      <c r="A1123" t="s">
        <v>1983</v>
      </c>
    </row>
    <row r="1124" spans="1:1" hidden="1">
      <c r="A1124" t="s">
        <v>1984</v>
      </c>
    </row>
    <row r="1125" spans="1:1" hidden="1">
      <c r="A1125" t="s">
        <v>1985</v>
      </c>
    </row>
    <row r="1126" spans="1:1" hidden="1">
      <c r="A1126" t="s">
        <v>1986</v>
      </c>
    </row>
    <row r="1127" spans="1:1" hidden="1">
      <c r="A1127" t="s">
        <v>1987</v>
      </c>
    </row>
    <row r="1128" spans="1:1" hidden="1">
      <c r="A1128" t="s">
        <v>1988</v>
      </c>
    </row>
    <row r="1129" spans="1:1" hidden="1">
      <c r="A1129" t="s">
        <v>1989</v>
      </c>
    </row>
    <row r="1130" spans="1:1" hidden="1">
      <c r="A1130" t="s">
        <v>1990</v>
      </c>
    </row>
    <row r="1131" spans="1:1" hidden="1">
      <c r="A1131" t="s">
        <v>1991</v>
      </c>
    </row>
    <row r="1132" spans="1:1" hidden="1">
      <c r="A1132" t="s">
        <v>1992</v>
      </c>
    </row>
    <row r="1133" spans="1:1" hidden="1">
      <c r="A1133" t="s">
        <v>1993</v>
      </c>
    </row>
    <row r="1134" spans="1:1" hidden="1">
      <c r="A1134" t="s">
        <v>1994</v>
      </c>
    </row>
    <row r="1135" spans="1:1" hidden="1">
      <c r="A1135" t="s">
        <v>1995</v>
      </c>
    </row>
    <row r="1136" spans="1:1" hidden="1">
      <c r="A1136" t="s">
        <v>1996</v>
      </c>
    </row>
    <row r="1137" spans="1:1" hidden="1">
      <c r="A1137" t="s">
        <v>1997</v>
      </c>
    </row>
    <row r="1138" spans="1:1" hidden="1">
      <c r="A1138" t="s">
        <v>1998</v>
      </c>
    </row>
    <row r="1139" spans="1:1" hidden="1">
      <c r="A1139" t="s">
        <v>1999</v>
      </c>
    </row>
    <row r="1140" spans="1:1" hidden="1">
      <c r="A1140" t="s">
        <v>2000</v>
      </c>
    </row>
    <row r="1141" spans="1:1" hidden="1">
      <c r="A1141" t="s">
        <v>2001</v>
      </c>
    </row>
    <row r="1142" spans="1:1" hidden="1">
      <c r="A1142" t="s">
        <v>2002</v>
      </c>
    </row>
    <row r="1143" spans="1:1" hidden="1">
      <c r="A1143" t="s">
        <v>2003</v>
      </c>
    </row>
    <row r="1144" spans="1:1" hidden="1">
      <c r="A1144" t="s">
        <v>2004</v>
      </c>
    </row>
    <row r="1145" spans="1:1" hidden="1">
      <c r="A1145" t="s">
        <v>2005</v>
      </c>
    </row>
    <row r="1146" spans="1:1" hidden="1">
      <c r="A1146" t="s">
        <v>2006</v>
      </c>
    </row>
    <row r="1147" spans="1:1" hidden="1">
      <c r="A1147" t="s">
        <v>2007</v>
      </c>
    </row>
    <row r="1148" spans="1:1" hidden="1">
      <c r="A1148" t="s">
        <v>2008</v>
      </c>
    </row>
    <row r="1149" spans="1:1" hidden="1">
      <c r="A1149" t="s">
        <v>2009</v>
      </c>
    </row>
    <row r="1150" spans="1:1" hidden="1">
      <c r="A1150" t="s">
        <v>2010</v>
      </c>
    </row>
    <row r="1151" spans="1:1" hidden="1">
      <c r="A1151" t="s">
        <v>2011</v>
      </c>
    </row>
    <row r="1152" spans="1:1" hidden="1">
      <c r="A1152" t="s">
        <v>2012</v>
      </c>
    </row>
    <row r="1153" spans="1:1" hidden="1">
      <c r="A1153" t="s">
        <v>2013</v>
      </c>
    </row>
    <row r="1154" spans="1:1" hidden="1">
      <c r="A1154" t="s">
        <v>2014</v>
      </c>
    </row>
    <row r="1155" spans="1:1" hidden="1">
      <c r="A1155" t="s">
        <v>2015</v>
      </c>
    </row>
    <row r="1156" spans="1:1" hidden="1">
      <c r="A1156" t="s">
        <v>2016</v>
      </c>
    </row>
    <row r="1157" spans="1:1" hidden="1">
      <c r="A1157" t="s">
        <v>2017</v>
      </c>
    </row>
    <row r="1158" spans="1:1" hidden="1">
      <c r="A1158" t="s">
        <v>2018</v>
      </c>
    </row>
    <row r="1159" spans="1:1" hidden="1">
      <c r="A1159" t="s">
        <v>2019</v>
      </c>
    </row>
    <row r="1160" spans="1:1" hidden="1">
      <c r="A1160" t="s">
        <v>2020</v>
      </c>
    </row>
    <row r="1161" spans="1:1" hidden="1">
      <c r="A1161" t="s">
        <v>2021</v>
      </c>
    </row>
    <row r="1162" spans="1:1" hidden="1">
      <c r="A1162" t="s">
        <v>2022</v>
      </c>
    </row>
    <row r="1163" spans="1:1" hidden="1">
      <c r="A1163" t="s">
        <v>2023</v>
      </c>
    </row>
    <row r="1164" spans="1:1" hidden="1">
      <c r="A1164" t="s">
        <v>2024</v>
      </c>
    </row>
    <row r="1165" spans="1:1" hidden="1">
      <c r="A1165" t="s">
        <v>2025</v>
      </c>
    </row>
    <row r="1166" spans="1:1" hidden="1">
      <c r="A1166" t="s">
        <v>2026</v>
      </c>
    </row>
    <row r="1167" spans="1:1" hidden="1">
      <c r="A1167" t="s">
        <v>2027</v>
      </c>
    </row>
    <row r="1168" spans="1:1" hidden="1">
      <c r="A1168" t="s">
        <v>2028</v>
      </c>
    </row>
    <row r="1169" spans="1:1" hidden="1">
      <c r="A1169" t="s">
        <v>2029</v>
      </c>
    </row>
    <row r="1170" spans="1:1" hidden="1">
      <c r="A1170" t="s">
        <v>2030</v>
      </c>
    </row>
    <row r="1171" spans="1:1" hidden="1">
      <c r="A1171" t="s">
        <v>2031</v>
      </c>
    </row>
    <row r="1172" spans="1:1" hidden="1">
      <c r="A1172" t="s">
        <v>2032</v>
      </c>
    </row>
    <row r="1173" spans="1:1" hidden="1">
      <c r="A1173" t="s">
        <v>2033</v>
      </c>
    </row>
    <row r="1174" spans="1:1" hidden="1">
      <c r="A1174" t="s">
        <v>2034</v>
      </c>
    </row>
    <row r="1175" spans="1:1" hidden="1">
      <c r="A1175" t="s">
        <v>2035</v>
      </c>
    </row>
    <row r="1176" spans="1:1" hidden="1">
      <c r="A1176" t="s">
        <v>2036</v>
      </c>
    </row>
    <row r="1177" spans="1:1" hidden="1">
      <c r="A1177" t="s">
        <v>2037</v>
      </c>
    </row>
    <row r="1178" spans="1:1" hidden="1">
      <c r="A1178" t="s">
        <v>2038</v>
      </c>
    </row>
    <row r="1179" spans="1:1" hidden="1">
      <c r="A1179" t="s">
        <v>2039</v>
      </c>
    </row>
    <row r="1180" spans="1:1" hidden="1">
      <c r="A1180" t="s">
        <v>2040</v>
      </c>
    </row>
    <row r="1181" spans="1:1" hidden="1">
      <c r="A1181" t="s">
        <v>2041</v>
      </c>
    </row>
    <row r="1182" spans="1:1" hidden="1">
      <c r="A1182" t="s">
        <v>2042</v>
      </c>
    </row>
    <row r="1183" spans="1:1" hidden="1">
      <c r="A1183" t="s">
        <v>2043</v>
      </c>
    </row>
    <row r="1184" spans="1:1" hidden="1">
      <c r="A1184" t="s">
        <v>2044</v>
      </c>
    </row>
    <row r="1185" spans="1:1" hidden="1">
      <c r="A1185" t="s">
        <v>2045</v>
      </c>
    </row>
    <row r="1186" spans="1:1" hidden="1">
      <c r="A1186" t="s">
        <v>2046</v>
      </c>
    </row>
    <row r="1187" spans="1:1" hidden="1">
      <c r="A1187" t="s">
        <v>2047</v>
      </c>
    </row>
    <row r="1188" spans="1:1" hidden="1">
      <c r="A1188" t="s">
        <v>2048</v>
      </c>
    </row>
    <row r="1189" spans="1:1" hidden="1">
      <c r="A1189" t="s">
        <v>2049</v>
      </c>
    </row>
    <row r="1190" spans="1:1" hidden="1">
      <c r="A1190" t="s">
        <v>2050</v>
      </c>
    </row>
    <row r="1191" spans="1:1" hidden="1">
      <c r="A1191" t="s">
        <v>2051</v>
      </c>
    </row>
    <row r="1192" spans="1:1" hidden="1">
      <c r="A1192" t="s">
        <v>2052</v>
      </c>
    </row>
    <row r="1193" spans="1:1" hidden="1">
      <c r="A1193" t="s">
        <v>2053</v>
      </c>
    </row>
    <row r="1194" spans="1:1" hidden="1">
      <c r="A1194" t="s">
        <v>2054</v>
      </c>
    </row>
    <row r="1195" spans="1:1" hidden="1">
      <c r="A1195" t="s">
        <v>2055</v>
      </c>
    </row>
    <row r="1196" spans="1:1" hidden="1">
      <c r="A1196" t="s">
        <v>2056</v>
      </c>
    </row>
    <row r="1197" spans="1:1" hidden="1">
      <c r="A1197" t="s">
        <v>2057</v>
      </c>
    </row>
    <row r="1198" spans="1:1" hidden="1">
      <c r="A1198" t="s">
        <v>2058</v>
      </c>
    </row>
    <row r="1199" spans="1:1" hidden="1">
      <c r="A1199" t="s">
        <v>2059</v>
      </c>
    </row>
    <row r="1200" spans="1:1" hidden="1">
      <c r="A1200" t="s">
        <v>2060</v>
      </c>
    </row>
    <row r="1201" spans="1:1" hidden="1">
      <c r="A1201" t="s">
        <v>2061</v>
      </c>
    </row>
    <row r="1202" spans="1:1" hidden="1">
      <c r="A1202" t="s">
        <v>2062</v>
      </c>
    </row>
    <row r="1203" spans="1:1" hidden="1">
      <c r="A1203" t="s">
        <v>2063</v>
      </c>
    </row>
    <row r="1204" spans="1:1" hidden="1">
      <c r="A1204" t="s">
        <v>2064</v>
      </c>
    </row>
    <row r="1205" spans="1:1" hidden="1">
      <c r="A1205" t="s">
        <v>2065</v>
      </c>
    </row>
    <row r="1206" spans="1:1" hidden="1">
      <c r="A1206" t="s">
        <v>2066</v>
      </c>
    </row>
    <row r="1207" spans="1:1" hidden="1">
      <c r="A1207" t="s">
        <v>2067</v>
      </c>
    </row>
    <row r="1208" spans="1:1" hidden="1">
      <c r="A1208" t="s">
        <v>2068</v>
      </c>
    </row>
    <row r="1209" spans="1:1" hidden="1">
      <c r="A1209" t="s">
        <v>2069</v>
      </c>
    </row>
    <row r="1210" spans="1:1" hidden="1">
      <c r="A1210" t="s">
        <v>2070</v>
      </c>
    </row>
    <row r="1211" spans="1:1" hidden="1">
      <c r="A1211" t="s">
        <v>2071</v>
      </c>
    </row>
    <row r="1212" spans="1:1" hidden="1">
      <c r="A1212" t="s">
        <v>2072</v>
      </c>
    </row>
    <row r="1213" spans="1:1" hidden="1">
      <c r="A1213" t="s">
        <v>2073</v>
      </c>
    </row>
    <row r="1214" spans="1:1" hidden="1">
      <c r="A1214" t="s">
        <v>2074</v>
      </c>
    </row>
    <row r="1215" spans="1:1" hidden="1">
      <c r="A1215" t="s">
        <v>2075</v>
      </c>
    </row>
    <row r="1216" spans="1:1" hidden="1">
      <c r="A1216" t="s">
        <v>2076</v>
      </c>
    </row>
    <row r="1217" spans="1:1" hidden="1">
      <c r="A1217" t="s">
        <v>2077</v>
      </c>
    </row>
    <row r="1218" spans="1:1" hidden="1">
      <c r="A1218" t="s">
        <v>2078</v>
      </c>
    </row>
    <row r="1219" spans="1:1" hidden="1">
      <c r="A1219" t="s">
        <v>2079</v>
      </c>
    </row>
    <row r="1220" spans="1:1" hidden="1">
      <c r="A1220" t="s">
        <v>2080</v>
      </c>
    </row>
    <row r="1221" spans="1:1" hidden="1">
      <c r="A1221" t="s">
        <v>2081</v>
      </c>
    </row>
    <row r="1222" spans="1:1" hidden="1">
      <c r="A1222" t="s">
        <v>2082</v>
      </c>
    </row>
    <row r="1223" spans="1:1" hidden="1">
      <c r="A1223" t="s">
        <v>2083</v>
      </c>
    </row>
    <row r="1224" spans="1:1" hidden="1">
      <c r="A1224" t="s">
        <v>2084</v>
      </c>
    </row>
    <row r="1225" spans="1:1" hidden="1">
      <c r="A1225" t="s">
        <v>2085</v>
      </c>
    </row>
    <row r="1226" spans="1:1" hidden="1">
      <c r="A1226" t="s">
        <v>2086</v>
      </c>
    </row>
    <row r="1227" spans="1:1" hidden="1">
      <c r="A1227" t="s">
        <v>2087</v>
      </c>
    </row>
    <row r="1228" spans="1:1" hidden="1">
      <c r="A1228" t="s">
        <v>2088</v>
      </c>
    </row>
    <row r="1229" spans="1:1" hidden="1">
      <c r="A1229" t="s">
        <v>2089</v>
      </c>
    </row>
    <row r="1230" spans="1:1" hidden="1">
      <c r="A1230" t="s">
        <v>2090</v>
      </c>
    </row>
    <row r="1231" spans="1:1" hidden="1">
      <c r="A1231" t="s">
        <v>2091</v>
      </c>
    </row>
    <row r="1232" spans="1:1" hidden="1">
      <c r="A1232" t="s">
        <v>2092</v>
      </c>
    </row>
    <row r="1233" spans="1:1" hidden="1">
      <c r="A1233" t="s">
        <v>2093</v>
      </c>
    </row>
    <row r="1234" spans="1:1" hidden="1">
      <c r="A1234" t="s">
        <v>2094</v>
      </c>
    </row>
    <row r="1235" spans="1:1" hidden="1">
      <c r="A1235" t="s">
        <v>2095</v>
      </c>
    </row>
    <row r="1236" spans="1:1" hidden="1">
      <c r="A1236" t="s">
        <v>2096</v>
      </c>
    </row>
    <row r="1237" spans="1:1" hidden="1">
      <c r="A1237" t="s">
        <v>2097</v>
      </c>
    </row>
    <row r="1238" spans="1:1" hidden="1">
      <c r="A1238" t="s">
        <v>2098</v>
      </c>
    </row>
    <row r="1239" spans="1:1" hidden="1">
      <c r="A1239" t="s">
        <v>2099</v>
      </c>
    </row>
    <row r="1240" spans="1:1" hidden="1">
      <c r="A1240" t="s">
        <v>2100</v>
      </c>
    </row>
    <row r="1241" spans="1:1" hidden="1">
      <c r="A1241" t="s">
        <v>2101</v>
      </c>
    </row>
    <row r="1242" spans="1:1" hidden="1">
      <c r="A1242" t="s">
        <v>2102</v>
      </c>
    </row>
    <row r="1243" spans="1:1" hidden="1">
      <c r="A1243" t="s">
        <v>2103</v>
      </c>
    </row>
    <row r="1244" spans="1:1" hidden="1">
      <c r="A1244" t="s">
        <v>2104</v>
      </c>
    </row>
    <row r="1245" spans="1:1" hidden="1">
      <c r="A1245" t="s">
        <v>2105</v>
      </c>
    </row>
    <row r="1246" spans="1:1" hidden="1">
      <c r="A1246" t="s">
        <v>2106</v>
      </c>
    </row>
    <row r="1247" spans="1:1" hidden="1">
      <c r="A1247" t="s">
        <v>2107</v>
      </c>
    </row>
    <row r="1248" spans="1:1" hidden="1">
      <c r="A1248" t="s">
        <v>2108</v>
      </c>
    </row>
    <row r="1249" spans="1:1" hidden="1">
      <c r="A1249" t="s">
        <v>2109</v>
      </c>
    </row>
    <row r="1250" spans="1:1" hidden="1">
      <c r="A1250" t="s">
        <v>2110</v>
      </c>
    </row>
    <row r="1251" spans="1:1" hidden="1">
      <c r="A1251" t="s">
        <v>2111</v>
      </c>
    </row>
    <row r="1252" spans="1:1" hidden="1">
      <c r="A1252" t="s">
        <v>2112</v>
      </c>
    </row>
    <row r="1253" spans="1:1" hidden="1">
      <c r="A1253" t="s">
        <v>2113</v>
      </c>
    </row>
    <row r="1254" spans="1:1" hidden="1">
      <c r="A1254" t="s">
        <v>2114</v>
      </c>
    </row>
    <row r="1255" spans="1:1" hidden="1">
      <c r="A1255" t="s">
        <v>2115</v>
      </c>
    </row>
    <row r="1256" spans="1:1" hidden="1">
      <c r="A1256" t="s">
        <v>2116</v>
      </c>
    </row>
    <row r="1257" spans="1:1" hidden="1">
      <c r="A1257" t="s">
        <v>2117</v>
      </c>
    </row>
    <row r="1258" spans="1:1" hidden="1">
      <c r="A1258" t="s">
        <v>2118</v>
      </c>
    </row>
    <row r="1259" spans="1:1" hidden="1">
      <c r="A1259" t="s">
        <v>2119</v>
      </c>
    </row>
    <row r="1260" spans="1:1" hidden="1">
      <c r="A1260" t="s">
        <v>2120</v>
      </c>
    </row>
    <row r="1261" spans="1:1" hidden="1">
      <c r="A1261" t="s">
        <v>2121</v>
      </c>
    </row>
    <row r="1262" spans="1:1" hidden="1">
      <c r="A1262" t="s">
        <v>2122</v>
      </c>
    </row>
    <row r="1263" spans="1:1" hidden="1">
      <c r="A1263" t="s">
        <v>2123</v>
      </c>
    </row>
    <row r="1264" spans="1:1" hidden="1">
      <c r="A1264" t="s">
        <v>2124</v>
      </c>
    </row>
    <row r="1265" spans="1:1" hidden="1">
      <c r="A1265" t="s">
        <v>2125</v>
      </c>
    </row>
    <row r="1266" spans="1:1" hidden="1">
      <c r="A1266" t="s">
        <v>2126</v>
      </c>
    </row>
    <row r="1267" spans="1:1" hidden="1">
      <c r="A1267" t="s">
        <v>2127</v>
      </c>
    </row>
    <row r="1268" spans="1:1" hidden="1">
      <c r="A1268" t="s">
        <v>2128</v>
      </c>
    </row>
    <row r="1269" spans="1:1" hidden="1">
      <c r="A1269" t="s">
        <v>2129</v>
      </c>
    </row>
    <row r="1270" spans="1:1" hidden="1">
      <c r="A1270" t="s">
        <v>2130</v>
      </c>
    </row>
    <row r="1271" spans="1:1" hidden="1">
      <c r="A1271" t="s">
        <v>2131</v>
      </c>
    </row>
    <row r="1272" spans="1:1" hidden="1">
      <c r="A1272" t="s">
        <v>2132</v>
      </c>
    </row>
    <row r="1273" spans="1:1" hidden="1">
      <c r="A1273" t="s">
        <v>2133</v>
      </c>
    </row>
    <row r="1274" spans="1:1" hidden="1">
      <c r="A1274" t="s">
        <v>2134</v>
      </c>
    </row>
    <row r="1275" spans="1:1" hidden="1">
      <c r="A1275" t="s">
        <v>2135</v>
      </c>
    </row>
    <row r="1276" spans="1:1" hidden="1">
      <c r="A1276" t="s">
        <v>2136</v>
      </c>
    </row>
    <row r="1277" spans="1:1" hidden="1">
      <c r="A1277" t="s">
        <v>2137</v>
      </c>
    </row>
    <row r="1278" spans="1:1" hidden="1">
      <c r="A1278" t="s">
        <v>2138</v>
      </c>
    </row>
    <row r="1279" spans="1:1" hidden="1">
      <c r="A1279" t="s">
        <v>2139</v>
      </c>
    </row>
    <row r="1280" spans="1:1" hidden="1">
      <c r="A1280" t="s">
        <v>2140</v>
      </c>
    </row>
    <row r="1281" spans="1:1" hidden="1">
      <c r="A1281" t="s">
        <v>2141</v>
      </c>
    </row>
    <row r="1282" spans="1:1" hidden="1">
      <c r="A1282" t="s">
        <v>2142</v>
      </c>
    </row>
    <row r="1283" spans="1:1" hidden="1">
      <c r="A1283" t="s">
        <v>2143</v>
      </c>
    </row>
    <row r="1284" spans="1:1" hidden="1">
      <c r="A1284" t="s">
        <v>2144</v>
      </c>
    </row>
    <row r="1285" spans="1:1" hidden="1">
      <c r="A1285" t="s">
        <v>2145</v>
      </c>
    </row>
    <row r="1286" spans="1:1" hidden="1">
      <c r="A1286" t="s">
        <v>2146</v>
      </c>
    </row>
    <row r="1287" spans="1:1" hidden="1">
      <c r="A1287" t="s">
        <v>2147</v>
      </c>
    </row>
    <row r="1288" spans="1:1" hidden="1">
      <c r="A1288" t="s">
        <v>2148</v>
      </c>
    </row>
    <row r="1289" spans="1:1" hidden="1">
      <c r="A1289" t="s">
        <v>2149</v>
      </c>
    </row>
    <row r="1290" spans="1:1" hidden="1">
      <c r="A1290" t="s">
        <v>2150</v>
      </c>
    </row>
    <row r="1291" spans="1:1" hidden="1">
      <c r="A1291" t="s">
        <v>2151</v>
      </c>
    </row>
    <row r="1292" spans="1:1" hidden="1">
      <c r="A1292" t="s">
        <v>2152</v>
      </c>
    </row>
    <row r="1293" spans="1:1" hidden="1">
      <c r="A1293" t="s">
        <v>2153</v>
      </c>
    </row>
    <row r="1294" spans="1:1" hidden="1">
      <c r="A1294" t="s">
        <v>2154</v>
      </c>
    </row>
    <row r="1295" spans="1:1" hidden="1">
      <c r="A1295" t="s">
        <v>2155</v>
      </c>
    </row>
    <row r="1296" spans="1:1" hidden="1">
      <c r="A1296" t="s">
        <v>2156</v>
      </c>
    </row>
    <row r="1297" spans="1:1" hidden="1">
      <c r="A1297" t="s">
        <v>2157</v>
      </c>
    </row>
    <row r="1298" spans="1:1" hidden="1">
      <c r="A1298" t="s">
        <v>2158</v>
      </c>
    </row>
    <row r="1299" spans="1:1" hidden="1">
      <c r="A1299" t="s">
        <v>2159</v>
      </c>
    </row>
    <row r="1300" spans="1:1" hidden="1">
      <c r="A1300" t="s">
        <v>2160</v>
      </c>
    </row>
    <row r="1301" spans="1:1" hidden="1">
      <c r="A1301" t="s">
        <v>2161</v>
      </c>
    </row>
    <row r="1302" spans="1:1" hidden="1">
      <c r="A1302" t="s">
        <v>2162</v>
      </c>
    </row>
    <row r="1303" spans="1:1" hidden="1">
      <c r="A1303" t="s">
        <v>2163</v>
      </c>
    </row>
    <row r="1304" spans="1:1" hidden="1">
      <c r="A1304" t="s">
        <v>2164</v>
      </c>
    </row>
    <row r="1305" spans="1:1" hidden="1">
      <c r="A1305" t="s">
        <v>2165</v>
      </c>
    </row>
    <row r="1306" spans="1:1" hidden="1">
      <c r="A1306" t="s">
        <v>2166</v>
      </c>
    </row>
    <row r="1307" spans="1:1" hidden="1">
      <c r="A1307" t="s">
        <v>2167</v>
      </c>
    </row>
    <row r="1308" spans="1:1" hidden="1">
      <c r="A1308" t="s">
        <v>2168</v>
      </c>
    </row>
    <row r="1309" spans="1:1" hidden="1">
      <c r="A1309" t="s">
        <v>2169</v>
      </c>
    </row>
    <row r="1310" spans="1:1" hidden="1">
      <c r="A1310" t="s">
        <v>2170</v>
      </c>
    </row>
    <row r="1311" spans="1:1" hidden="1">
      <c r="A1311" t="s">
        <v>2171</v>
      </c>
    </row>
    <row r="1312" spans="1:1" hidden="1">
      <c r="A1312" t="s">
        <v>2172</v>
      </c>
    </row>
    <row r="1313" spans="1:1" hidden="1">
      <c r="A1313" t="s">
        <v>2173</v>
      </c>
    </row>
    <row r="1314" spans="1:1" hidden="1">
      <c r="A1314" t="s">
        <v>2174</v>
      </c>
    </row>
    <row r="1315" spans="1:1" hidden="1">
      <c r="A1315" t="s">
        <v>2175</v>
      </c>
    </row>
    <row r="1316" spans="1:1" hidden="1">
      <c r="A1316" t="s">
        <v>2176</v>
      </c>
    </row>
    <row r="1317" spans="1:1" hidden="1">
      <c r="A1317" t="s">
        <v>2177</v>
      </c>
    </row>
    <row r="1318" spans="1:1" hidden="1">
      <c r="A1318" t="s">
        <v>2178</v>
      </c>
    </row>
    <row r="1319" spans="1:1" hidden="1">
      <c r="A1319" t="s">
        <v>2179</v>
      </c>
    </row>
    <row r="1320" spans="1:1" hidden="1">
      <c r="A1320" t="s">
        <v>2180</v>
      </c>
    </row>
    <row r="1321" spans="1:1" hidden="1">
      <c r="A1321" t="s">
        <v>2181</v>
      </c>
    </row>
    <row r="1322" spans="1:1" hidden="1">
      <c r="A1322" t="s">
        <v>2182</v>
      </c>
    </row>
    <row r="1323" spans="1:1" hidden="1">
      <c r="A1323" t="s">
        <v>2183</v>
      </c>
    </row>
    <row r="1324" spans="1:1" hidden="1">
      <c r="A1324" t="s">
        <v>2184</v>
      </c>
    </row>
    <row r="1325" spans="1:1" hidden="1">
      <c r="A1325" t="s">
        <v>2185</v>
      </c>
    </row>
    <row r="1326" spans="1:1" hidden="1">
      <c r="A1326" t="s">
        <v>2186</v>
      </c>
    </row>
    <row r="1327" spans="1:1" hidden="1">
      <c r="A1327" t="s">
        <v>2187</v>
      </c>
    </row>
    <row r="1328" spans="1:1" hidden="1">
      <c r="A1328" t="s">
        <v>2188</v>
      </c>
    </row>
    <row r="1329" spans="1:1" hidden="1">
      <c r="A1329" t="s">
        <v>2189</v>
      </c>
    </row>
    <row r="1330" spans="1:1" hidden="1">
      <c r="A1330" t="s">
        <v>2190</v>
      </c>
    </row>
    <row r="1331" spans="1:1" hidden="1">
      <c r="A1331" t="s">
        <v>2191</v>
      </c>
    </row>
    <row r="1332" spans="1:1" hidden="1">
      <c r="A1332" t="s">
        <v>2192</v>
      </c>
    </row>
    <row r="1333" spans="1:1" hidden="1">
      <c r="A1333" t="s">
        <v>2193</v>
      </c>
    </row>
    <row r="1334" spans="1:1" hidden="1">
      <c r="A1334" t="s">
        <v>2194</v>
      </c>
    </row>
    <row r="1335" spans="1:1" hidden="1">
      <c r="A1335" t="s">
        <v>2195</v>
      </c>
    </row>
    <row r="1336" spans="1:1" hidden="1">
      <c r="A1336" t="s">
        <v>2196</v>
      </c>
    </row>
    <row r="1337" spans="1:1" hidden="1">
      <c r="A1337" t="s">
        <v>2197</v>
      </c>
    </row>
    <row r="1338" spans="1:1" hidden="1">
      <c r="A1338" t="s">
        <v>2198</v>
      </c>
    </row>
    <row r="1339" spans="1:1" hidden="1">
      <c r="A1339" t="s">
        <v>2199</v>
      </c>
    </row>
    <row r="1340" spans="1:1" hidden="1">
      <c r="A1340" t="s">
        <v>2200</v>
      </c>
    </row>
    <row r="1341" spans="1:1" hidden="1">
      <c r="A1341" t="s">
        <v>2201</v>
      </c>
    </row>
    <row r="1342" spans="1:1" hidden="1">
      <c r="A1342" t="s">
        <v>2202</v>
      </c>
    </row>
    <row r="1343" spans="1:1" hidden="1">
      <c r="A1343" t="s">
        <v>2203</v>
      </c>
    </row>
    <row r="1344" spans="1:1" hidden="1">
      <c r="A1344" t="s">
        <v>2204</v>
      </c>
    </row>
    <row r="1345" spans="1:1" hidden="1">
      <c r="A1345" t="s">
        <v>2205</v>
      </c>
    </row>
    <row r="1346" spans="1:1" hidden="1">
      <c r="A1346" t="s">
        <v>2206</v>
      </c>
    </row>
    <row r="1347" spans="1:1" hidden="1">
      <c r="A1347" t="s">
        <v>2207</v>
      </c>
    </row>
    <row r="1348" spans="1:1" hidden="1">
      <c r="A1348" t="s">
        <v>2208</v>
      </c>
    </row>
    <row r="1349" spans="1:1" hidden="1">
      <c r="A1349" t="s">
        <v>2209</v>
      </c>
    </row>
    <row r="1350" spans="1:1" hidden="1">
      <c r="A1350" t="s">
        <v>2210</v>
      </c>
    </row>
    <row r="1351" spans="1:1" hidden="1">
      <c r="A1351" t="s">
        <v>2211</v>
      </c>
    </row>
    <row r="1352" spans="1:1" hidden="1">
      <c r="A1352" t="s">
        <v>2212</v>
      </c>
    </row>
    <row r="1353" spans="1:1" hidden="1">
      <c r="A1353" t="s">
        <v>2213</v>
      </c>
    </row>
    <row r="1354" spans="1:1" hidden="1">
      <c r="A1354" t="s">
        <v>2214</v>
      </c>
    </row>
    <row r="1355" spans="1:1" hidden="1">
      <c r="A1355" t="s">
        <v>2215</v>
      </c>
    </row>
    <row r="1356" spans="1:1" hidden="1">
      <c r="A1356" t="s">
        <v>2216</v>
      </c>
    </row>
    <row r="1357" spans="1:1" hidden="1">
      <c r="A1357" t="s">
        <v>2217</v>
      </c>
    </row>
    <row r="1358" spans="1:1" hidden="1">
      <c r="A1358" t="s">
        <v>2218</v>
      </c>
    </row>
    <row r="1359" spans="1:1" hidden="1">
      <c r="A1359" t="s">
        <v>2219</v>
      </c>
    </row>
    <row r="1360" spans="1:1" hidden="1">
      <c r="A1360" t="s">
        <v>2220</v>
      </c>
    </row>
    <row r="1361" spans="1:1" hidden="1">
      <c r="A1361" t="s">
        <v>2221</v>
      </c>
    </row>
    <row r="1362" spans="1:1" hidden="1">
      <c r="A1362" t="s">
        <v>2222</v>
      </c>
    </row>
    <row r="1363" spans="1:1" hidden="1">
      <c r="A1363" t="s">
        <v>2223</v>
      </c>
    </row>
    <row r="1364" spans="1:1" hidden="1">
      <c r="A1364" t="s">
        <v>2224</v>
      </c>
    </row>
    <row r="1365" spans="1:1" hidden="1">
      <c r="A1365" t="s">
        <v>2225</v>
      </c>
    </row>
    <row r="1366" spans="1:1" hidden="1">
      <c r="A1366" t="s">
        <v>2226</v>
      </c>
    </row>
    <row r="1367" spans="1:1" hidden="1">
      <c r="A1367" t="s">
        <v>2227</v>
      </c>
    </row>
    <row r="1368" spans="1:1" hidden="1">
      <c r="A1368" t="s">
        <v>2228</v>
      </c>
    </row>
    <row r="1369" spans="1:1" hidden="1">
      <c r="A1369" t="s">
        <v>2229</v>
      </c>
    </row>
    <row r="1370" spans="1:1" hidden="1">
      <c r="A1370" t="s">
        <v>2230</v>
      </c>
    </row>
    <row r="1371" spans="1:1" hidden="1">
      <c r="A1371" t="s">
        <v>2231</v>
      </c>
    </row>
    <row r="1372" spans="1:1" hidden="1">
      <c r="A1372" t="s">
        <v>2232</v>
      </c>
    </row>
    <row r="1373" spans="1:1" hidden="1">
      <c r="A1373" t="s">
        <v>2233</v>
      </c>
    </row>
    <row r="1374" spans="1:1" hidden="1">
      <c r="A1374" t="s">
        <v>2234</v>
      </c>
    </row>
    <row r="1375" spans="1:1" hidden="1">
      <c r="A1375" t="s">
        <v>2235</v>
      </c>
    </row>
    <row r="1376" spans="1:1" hidden="1">
      <c r="A1376" t="s">
        <v>2236</v>
      </c>
    </row>
    <row r="1377" spans="1:1" hidden="1">
      <c r="A1377" t="s">
        <v>2237</v>
      </c>
    </row>
    <row r="1378" spans="1:1" hidden="1">
      <c r="A1378" t="s">
        <v>2238</v>
      </c>
    </row>
    <row r="1379" spans="1:1" hidden="1">
      <c r="A1379" t="s">
        <v>2239</v>
      </c>
    </row>
    <row r="1380" spans="1:1" hidden="1">
      <c r="A1380" t="s">
        <v>2240</v>
      </c>
    </row>
    <row r="1381" spans="1:1" hidden="1">
      <c r="A1381" t="s">
        <v>2241</v>
      </c>
    </row>
    <row r="1382" spans="1:1" hidden="1">
      <c r="A1382" t="s">
        <v>2242</v>
      </c>
    </row>
    <row r="1383" spans="1:1" hidden="1">
      <c r="A1383" t="s">
        <v>2243</v>
      </c>
    </row>
    <row r="1384" spans="1:1" hidden="1">
      <c r="A1384" t="s">
        <v>2244</v>
      </c>
    </row>
    <row r="1385" spans="1:1" hidden="1">
      <c r="A1385" t="s">
        <v>2245</v>
      </c>
    </row>
    <row r="1386" spans="1:1" hidden="1">
      <c r="A1386" t="s">
        <v>2246</v>
      </c>
    </row>
    <row r="1387" spans="1:1" hidden="1">
      <c r="A1387" t="s">
        <v>2247</v>
      </c>
    </row>
    <row r="1388" spans="1:1" hidden="1">
      <c r="A1388" t="s">
        <v>2248</v>
      </c>
    </row>
    <row r="1389" spans="1:1" hidden="1">
      <c r="A1389" t="s">
        <v>2249</v>
      </c>
    </row>
    <row r="1390" spans="1:1" hidden="1">
      <c r="A1390" t="s">
        <v>2250</v>
      </c>
    </row>
    <row r="1391" spans="1:1" hidden="1">
      <c r="A1391" t="s">
        <v>2251</v>
      </c>
    </row>
    <row r="1392" spans="1:1" hidden="1">
      <c r="A1392" t="s">
        <v>2252</v>
      </c>
    </row>
    <row r="1393" spans="1:1" hidden="1">
      <c r="A1393" t="s">
        <v>2253</v>
      </c>
    </row>
    <row r="1394" spans="1:1" hidden="1">
      <c r="A1394" t="s">
        <v>2254</v>
      </c>
    </row>
    <row r="1395" spans="1:1" hidden="1">
      <c r="A1395" t="s">
        <v>2255</v>
      </c>
    </row>
    <row r="1396" spans="1:1" hidden="1">
      <c r="A1396" t="s">
        <v>2256</v>
      </c>
    </row>
    <row r="1397" spans="1:1" hidden="1">
      <c r="A1397" t="s">
        <v>2257</v>
      </c>
    </row>
    <row r="1398" spans="1:1" hidden="1">
      <c r="A1398" t="s">
        <v>2258</v>
      </c>
    </row>
    <row r="1399" spans="1:1" hidden="1">
      <c r="A1399" t="s">
        <v>2259</v>
      </c>
    </row>
    <row r="1400" spans="1:1" hidden="1">
      <c r="A1400" t="s">
        <v>2260</v>
      </c>
    </row>
    <row r="1401" spans="1:1" hidden="1">
      <c r="A1401" t="s">
        <v>2261</v>
      </c>
    </row>
    <row r="1402" spans="1:1" hidden="1">
      <c r="A1402" t="s">
        <v>2262</v>
      </c>
    </row>
    <row r="1403" spans="1:1" hidden="1">
      <c r="A1403" t="s">
        <v>2263</v>
      </c>
    </row>
    <row r="1404" spans="1:1" hidden="1">
      <c r="A1404" t="s">
        <v>2264</v>
      </c>
    </row>
    <row r="1405" spans="1:1" hidden="1">
      <c r="A1405" t="s">
        <v>2265</v>
      </c>
    </row>
    <row r="1406" spans="1:1" hidden="1">
      <c r="A1406" t="s">
        <v>2266</v>
      </c>
    </row>
    <row r="1407" spans="1:1" hidden="1">
      <c r="A1407" t="s">
        <v>2267</v>
      </c>
    </row>
    <row r="1408" spans="1:1" hidden="1">
      <c r="A1408" t="s">
        <v>2268</v>
      </c>
    </row>
    <row r="1409" spans="1:1" hidden="1">
      <c r="A1409" t="s">
        <v>2269</v>
      </c>
    </row>
    <row r="1410" spans="1:1" hidden="1">
      <c r="A1410" t="s">
        <v>2270</v>
      </c>
    </row>
    <row r="1411" spans="1:1" hidden="1">
      <c r="A1411" t="s">
        <v>2271</v>
      </c>
    </row>
    <row r="1412" spans="1:1" hidden="1">
      <c r="A1412" t="s">
        <v>2272</v>
      </c>
    </row>
    <row r="1413" spans="1:1" hidden="1">
      <c r="A1413" t="s">
        <v>2273</v>
      </c>
    </row>
    <row r="1414" spans="1:1" hidden="1">
      <c r="A1414" t="s">
        <v>2274</v>
      </c>
    </row>
    <row r="1415" spans="1:1" hidden="1">
      <c r="A1415" t="s">
        <v>2275</v>
      </c>
    </row>
    <row r="1416" spans="1:1" hidden="1">
      <c r="A1416" t="s">
        <v>2276</v>
      </c>
    </row>
    <row r="1417" spans="1:1" hidden="1">
      <c r="A1417" t="s">
        <v>2277</v>
      </c>
    </row>
    <row r="1418" spans="1:1" hidden="1">
      <c r="A1418" t="s">
        <v>2278</v>
      </c>
    </row>
    <row r="1419" spans="1:1" hidden="1">
      <c r="A1419" t="s">
        <v>2279</v>
      </c>
    </row>
    <row r="1420" spans="1:1" hidden="1">
      <c r="A1420" t="s">
        <v>2280</v>
      </c>
    </row>
    <row r="1421" spans="1:1" hidden="1">
      <c r="A1421" t="s">
        <v>2281</v>
      </c>
    </row>
    <row r="1422" spans="1:1" hidden="1">
      <c r="A1422" t="s">
        <v>2282</v>
      </c>
    </row>
    <row r="1423" spans="1:1" hidden="1">
      <c r="A1423" t="s">
        <v>2283</v>
      </c>
    </row>
    <row r="1424" spans="1:1" hidden="1">
      <c r="A1424" t="s">
        <v>2284</v>
      </c>
    </row>
    <row r="1425" spans="1:1" hidden="1">
      <c r="A1425" t="s">
        <v>2285</v>
      </c>
    </row>
    <row r="1426" spans="1:1" hidden="1">
      <c r="A1426" t="s">
        <v>2286</v>
      </c>
    </row>
    <row r="1427" spans="1:1" hidden="1">
      <c r="A1427" t="s">
        <v>2287</v>
      </c>
    </row>
    <row r="1428" spans="1:1" hidden="1">
      <c r="A1428" t="s">
        <v>2288</v>
      </c>
    </row>
    <row r="1429" spans="1:1" hidden="1">
      <c r="A1429" t="s">
        <v>2289</v>
      </c>
    </row>
    <row r="1430" spans="1:1" hidden="1">
      <c r="A1430" t="s">
        <v>2290</v>
      </c>
    </row>
    <row r="1431" spans="1:1" hidden="1">
      <c r="A1431" t="s">
        <v>2291</v>
      </c>
    </row>
    <row r="1432" spans="1:1" hidden="1">
      <c r="A1432" t="s">
        <v>2292</v>
      </c>
    </row>
    <row r="1433" spans="1:1" hidden="1">
      <c r="A1433" t="s">
        <v>2293</v>
      </c>
    </row>
    <row r="1434" spans="1:1" hidden="1">
      <c r="A1434" t="s">
        <v>2294</v>
      </c>
    </row>
    <row r="1435" spans="1:1" hidden="1">
      <c r="A1435" t="s">
        <v>2295</v>
      </c>
    </row>
    <row r="1436" spans="1:1" hidden="1">
      <c r="A1436" t="s">
        <v>2296</v>
      </c>
    </row>
    <row r="1437" spans="1:1" hidden="1">
      <c r="A1437" t="s">
        <v>2297</v>
      </c>
    </row>
    <row r="1438" spans="1:1" hidden="1">
      <c r="A1438" t="s">
        <v>2298</v>
      </c>
    </row>
    <row r="1439" spans="1:1" hidden="1">
      <c r="A1439" t="s">
        <v>2299</v>
      </c>
    </row>
    <row r="1440" spans="1:1">
      <c r="A1440" t="s">
        <v>2300</v>
      </c>
    </row>
    <row r="1442" spans="1:9">
      <c r="A1442" s="5" t="s">
        <v>108</v>
      </c>
    </row>
    <row r="1443" spans="1:9">
      <c r="A1443" s="151" t="s">
        <v>2302</v>
      </c>
      <c r="B1443" s="151"/>
      <c r="C1443" s="151"/>
      <c r="D1443" s="151"/>
      <c r="E1443" s="151"/>
      <c r="F1443" s="151"/>
      <c r="G1443" s="151"/>
      <c r="H1443" s="151"/>
      <c r="I1443" s="151"/>
    </row>
    <row r="1444" spans="1:9">
      <c r="A1444" s="151"/>
      <c r="B1444" s="151"/>
      <c r="C1444" s="151"/>
      <c r="D1444" s="151"/>
      <c r="E1444" s="151"/>
      <c r="F1444" s="151"/>
      <c r="G1444" s="151"/>
      <c r="H1444" s="151"/>
      <c r="I1444" s="151"/>
    </row>
    <row r="1445" spans="1:9">
      <c r="A1445" s="151"/>
      <c r="B1445" s="151"/>
      <c r="C1445" s="151"/>
      <c r="D1445" s="151"/>
      <c r="E1445" s="151"/>
      <c r="F1445" s="151"/>
      <c r="G1445" s="151"/>
      <c r="H1445" s="151"/>
      <c r="I1445" s="151"/>
    </row>
    <row r="1446" spans="1:9">
      <c r="A1446" s="151"/>
      <c r="B1446" s="151"/>
      <c r="C1446" s="151"/>
      <c r="D1446" s="151"/>
      <c r="E1446" s="151"/>
      <c r="F1446" s="151"/>
      <c r="G1446" s="151"/>
      <c r="H1446" s="151"/>
      <c r="I1446" s="151"/>
    </row>
    <row r="1447" spans="1:9">
      <c r="A1447" s="151"/>
      <c r="B1447" s="151"/>
      <c r="C1447" s="151"/>
      <c r="D1447" s="151"/>
      <c r="E1447" s="151"/>
      <c r="F1447" s="151"/>
      <c r="G1447" s="151"/>
      <c r="H1447" s="151"/>
      <c r="I1447" s="151"/>
    </row>
    <row r="1448" spans="1:9">
      <c r="A1448" s="151"/>
      <c r="B1448" s="151"/>
      <c r="C1448" s="151"/>
      <c r="D1448" s="151"/>
      <c r="E1448" s="151"/>
      <c r="F1448" s="151"/>
      <c r="G1448" s="151"/>
      <c r="H1448" s="151"/>
      <c r="I1448" s="151"/>
    </row>
    <row r="1449" spans="1:9">
      <c r="A1449" s="151"/>
      <c r="B1449" s="151"/>
      <c r="C1449" s="151"/>
      <c r="D1449" s="151"/>
      <c r="E1449" s="151"/>
      <c r="F1449" s="151"/>
      <c r="G1449" s="151"/>
      <c r="H1449" s="151"/>
      <c r="I1449" s="151"/>
    </row>
    <row r="1451" spans="1:9">
      <c r="A1451" s="5" t="s">
        <v>109</v>
      </c>
    </row>
    <row r="1452" spans="1:9">
      <c r="A1452" s="152" t="s">
        <v>2301</v>
      </c>
      <c r="B1452" s="152"/>
      <c r="C1452" s="152"/>
      <c r="D1452" s="152"/>
      <c r="E1452" s="152"/>
      <c r="F1452" s="152"/>
      <c r="G1452" s="152"/>
      <c r="H1452" s="152"/>
      <c r="I1452" s="152"/>
    </row>
    <row r="1453" spans="1:9">
      <c r="A1453" s="152"/>
      <c r="B1453" s="152"/>
      <c r="C1453" s="152"/>
      <c r="D1453" s="152"/>
      <c r="E1453" s="152"/>
      <c r="F1453" s="152"/>
      <c r="G1453" s="152"/>
      <c r="H1453" s="152"/>
      <c r="I1453" s="152"/>
    </row>
    <row r="1454" spans="1:9">
      <c r="A1454" s="152"/>
      <c r="B1454" s="152"/>
      <c r="C1454" s="152"/>
      <c r="D1454" s="152"/>
      <c r="E1454" s="152"/>
      <c r="F1454" s="152"/>
      <c r="G1454" s="152"/>
      <c r="H1454" s="152"/>
      <c r="I1454" s="152"/>
    </row>
    <row r="1455" spans="1:9">
      <c r="A1455" s="152"/>
      <c r="B1455" s="152"/>
      <c r="C1455" s="152"/>
      <c r="D1455" s="152"/>
      <c r="E1455" s="152"/>
      <c r="F1455" s="152"/>
      <c r="G1455" s="152"/>
      <c r="H1455" s="152"/>
      <c r="I1455" s="152"/>
    </row>
    <row r="1456" spans="1:9">
      <c r="A1456" s="152"/>
      <c r="B1456" s="152"/>
      <c r="C1456" s="152"/>
      <c r="D1456" s="152"/>
      <c r="E1456" s="152"/>
      <c r="F1456" s="152"/>
      <c r="G1456" s="152"/>
      <c r="H1456" s="152"/>
      <c r="I1456" s="152"/>
    </row>
    <row r="1457" spans="1:9">
      <c r="A1457" s="152"/>
      <c r="B1457" s="152"/>
      <c r="C1457" s="152"/>
      <c r="D1457" s="152"/>
      <c r="E1457" s="152"/>
      <c r="F1457" s="152"/>
      <c r="G1457" s="152"/>
      <c r="H1457" s="152"/>
      <c r="I1457" s="152"/>
    </row>
    <row r="1458" spans="1:9">
      <c r="A1458" s="152"/>
      <c r="B1458" s="152"/>
      <c r="C1458" s="152"/>
      <c r="D1458" s="152"/>
      <c r="E1458" s="152"/>
      <c r="F1458" s="152"/>
      <c r="G1458" s="152"/>
      <c r="H1458" s="152"/>
      <c r="I1458" s="152"/>
    </row>
    <row r="1459" spans="1:9">
      <c r="A1459" s="152"/>
      <c r="B1459" s="152"/>
      <c r="C1459" s="152"/>
      <c r="D1459" s="152"/>
      <c r="E1459" s="152"/>
      <c r="F1459" s="152"/>
      <c r="G1459" s="152"/>
      <c r="H1459" s="152"/>
      <c r="I1459" s="152"/>
    </row>
    <row r="1460" spans="1:9">
      <c r="A1460" s="152"/>
      <c r="B1460" s="152"/>
      <c r="C1460" s="152"/>
      <c r="D1460" s="152"/>
      <c r="E1460" s="152"/>
      <c r="F1460" s="152"/>
      <c r="G1460" s="152"/>
      <c r="H1460" s="152"/>
      <c r="I1460" s="152"/>
    </row>
    <row r="1461" spans="1:9">
      <c r="A1461" s="152"/>
      <c r="B1461" s="152"/>
      <c r="C1461" s="152"/>
      <c r="D1461" s="152"/>
      <c r="E1461" s="152"/>
      <c r="F1461" s="152"/>
      <c r="G1461" s="152"/>
      <c r="H1461" s="152"/>
      <c r="I1461" s="152"/>
    </row>
    <row r="1462" spans="1:9">
      <c r="A1462" s="152"/>
      <c r="B1462" s="152"/>
      <c r="C1462" s="152"/>
      <c r="D1462" s="152"/>
      <c r="E1462" s="152"/>
      <c r="F1462" s="152"/>
      <c r="G1462" s="152"/>
      <c r="H1462" s="152"/>
      <c r="I1462" s="152"/>
    </row>
    <row r="1463" spans="1:9">
      <c r="A1463" s="152"/>
      <c r="B1463" s="152"/>
      <c r="C1463" s="152"/>
      <c r="D1463" s="152"/>
      <c r="E1463" s="152"/>
      <c r="F1463" s="152"/>
      <c r="G1463" s="152"/>
      <c r="H1463" s="152"/>
      <c r="I1463" s="152"/>
    </row>
  </sheetData>
  <mergeCells count="2">
    <mergeCell ref="A1443:I1449"/>
    <mergeCell ref="A1452:I146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02332-725D-4C9F-8D88-A4C31C8C2D80}">
  <dimension ref="A1:L119"/>
  <sheetViews>
    <sheetView tabSelected="1" zoomScale="55" zoomScaleNormal="55" workbookViewId="0">
      <selection activeCell="L110" sqref="L110"/>
    </sheetView>
  </sheetViews>
  <sheetFormatPr defaultRowHeight="15"/>
  <cols>
    <col min="1" max="1" width="11.140625" customWidth="1"/>
    <col min="2" max="2" width="30.140625" customWidth="1"/>
    <col min="3" max="12" width="11.140625" customWidth="1"/>
  </cols>
  <sheetData>
    <row r="1" spans="1:12">
      <c r="A1" s="127" t="s">
        <v>726</v>
      </c>
    </row>
    <row r="2" spans="1:12">
      <c r="A2" s="127" t="s">
        <v>2303</v>
      </c>
    </row>
    <row r="4" spans="1:12">
      <c r="A4" s="6" t="s">
        <v>2304</v>
      </c>
    </row>
    <row r="6" spans="1:12">
      <c r="A6" s="159" t="s">
        <v>2305</v>
      </c>
      <c r="B6" s="159"/>
      <c r="C6" s="159"/>
      <c r="D6" s="159" t="s">
        <v>2306</v>
      </c>
      <c r="E6" s="159"/>
      <c r="F6" s="159"/>
      <c r="G6" s="159" t="s">
        <v>2307</v>
      </c>
      <c r="H6" s="159"/>
      <c r="I6" s="159"/>
      <c r="J6" s="159" t="s">
        <v>2308</v>
      </c>
      <c r="K6" s="159"/>
      <c r="L6" s="159"/>
    </row>
    <row r="7" spans="1:12">
      <c r="A7" s="140"/>
      <c r="B7" s="140"/>
      <c r="C7" s="140"/>
      <c r="D7" s="140"/>
      <c r="E7" s="140"/>
      <c r="F7" s="140"/>
      <c r="G7" s="140"/>
      <c r="H7" s="140"/>
      <c r="I7" s="140"/>
      <c r="J7" s="140"/>
      <c r="K7" s="140"/>
      <c r="L7" s="140"/>
    </row>
    <row r="8" spans="1:12">
      <c r="A8" s="141" t="s">
        <v>2309</v>
      </c>
      <c r="B8" s="141" t="s">
        <v>2310</v>
      </c>
      <c r="C8" s="141" t="s">
        <v>2311</v>
      </c>
      <c r="D8" s="142" t="s">
        <v>2312</v>
      </c>
      <c r="E8" s="142" t="s">
        <v>2313</v>
      </c>
      <c r="F8" s="142" t="s">
        <v>2314</v>
      </c>
      <c r="G8" s="143" t="s">
        <v>2315</v>
      </c>
      <c r="H8" s="143" t="s">
        <v>2316</v>
      </c>
      <c r="I8" s="143" t="s">
        <v>2317</v>
      </c>
      <c r="J8" s="144" t="s">
        <v>2318</v>
      </c>
      <c r="K8" s="144" t="s">
        <v>2319</v>
      </c>
      <c r="L8" s="144" t="s">
        <v>2320</v>
      </c>
    </row>
    <row r="9" spans="1:12">
      <c r="A9" s="145">
        <v>0</v>
      </c>
      <c r="B9" s="145">
        <v>1</v>
      </c>
      <c r="C9" s="145">
        <v>0</v>
      </c>
      <c r="D9" s="146">
        <v>0</v>
      </c>
      <c r="E9" s="146">
        <v>1</v>
      </c>
      <c r="F9" s="146">
        <v>0</v>
      </c>
      <c r="G9" s="147">
        <v>0</v>
      </c>
      <c r="H9" s="147">
        <v>1</v>
      </c>
      <c r="I9" s="147">
        <v>0</v>
      </c>
      <c r="J9" s="148">
        <v>0</v>
      </c>
      <c r="K9" s="148">
        <v>1</v>
      </c>
      <c r="L9" s="148">
        <v>0</v>
      </c>
    </row>
    <row r="10" spans="1:12" hidden="1">
      <c r="A10" s="145">
        <v>0</v>
      </c>
      <c r="B10" s="145">
        <v>1</v>
      </c>
      <c r="C10" s="145">
        <v>0</v>
      </c>
      <c r="D10" s="146">
        <v>0</v>
      </c>
      <c r="E10" s="146">
        <v>0</v>
      </c>
      <c r="F10" s="146">
        <v>1</v>
      </c>
      <c r="G10" s="147">
        <v>0</v>
      </c>
      <c r="H10" s="147">
        <v>0</v>
      </c>
      <c r="I10" s="147">
        <v>1</v>
      </c>
      <c r="J10" s="148">
        <v>0</v>
      </c>
      <c r="K10" s="148">
        <v>0</v>
      </c>
      <c r="L10" s="148">
        <v>1</v>
      </c>
    </row>
    <row r="11" spans="1:12" hidden="1">
      <c r="A11" s="145">
        <v>0</v>
      </c>
      <c r="B11" s="145">
        <v>1</v>
      </c>
      <c r="C11" s="145">
        <v>0</v>
      </c>
      <c r="D11" s="146">
        <v>0</v>
      </c>
      <c r="E11" s="146">
        <v>1</v>
      </c>
      <c r="F11" s="146">
        <v>0</v>
      </c>
      <c r="G11" s="147">
        <v>0</v>
      </c>
      <c r="H11" s="147">
        <v>1</v>
      </c>
      <c r="I11" s="147">
        <v>0</v>
      </c>
      <c r="J11" s="148">
        <v>1</v>
      </c>
      <c r="K11" s="148">
        <v>0</v>
      </c>
      <c r="L11" s="148">
        <v>0</v>
      </c>
    </row>
    <row r="12" spans="1:12" hidden="1">
      <c r="A12" s="145">
        <v>1</v>
      </c>
      <c r="B12" s="145">
        <v>0</v>
      </c>
      <c r="C12" s="145">
        <v>0</v>
      </c>
      <c r="D12" s="146">
        <v>0</v>
      </c>
      <c r="E12" s="146">
        <v>1</v>
      </c>
      <c r="F12" s="146">
        <v>0</v>
      </c>
      <c r="G12" s="147">
        <v>0</v>
      </c>
      <c r="H12" s="147">
        <v>0</v>
      </c>
      <c r="I12" s="147">
        <v>1</v>
      </c>
      <c r="J12" s="148">
        <v>0</v>
      </c>
      <c r="K12" s="148">
        <v>1</v>
      </c>
      <c r="L12" s="148">
        <v>0</v>
      </c>
    </row>
    <row r="13" spans="1:12" hidden="1">
      <c r="A13" s="145">
        <v>0</v>
      </c>
      <c r="B13" s="145">
        <v>0</v>
      </c>
      <c r="C13" s="145">
        <v>1</v>
      </c>
      <c r="D13" s="146">
        <v>0</v>
      </c>
      <c r="E13" s="146">
        <v>0</v>
      </c>
      <c r="F13" s="146">
        <v>1</v>
      </c>
      <c r="G13" s="147">
        <v>0</v>
      </c>
      <c r="H13" s="147">
        <v>0</v>
      </c>
      <c r="I13" s="147">
        <v>1</v>
      </c>
      <c r="J13" s="148">
        <v>0</v>
      </c>
      <c r="K13" s="148">
        <v>0</v>
      </c>
      <c r="L13" s="148">
        <v>1</v>
      </c>
    </row>
    <row r="14" spans="1:12" hidden="1">
      <c r="A14" s="145">
        <v>0</v>
      </c>
      <c r="B14" s="145">
        <v>0</v>
      </c>
      <c r="C14" s="145">
        <v>1</v>
      </c>
      <c r="D14" s="146">
        <v>0</v>
      </c>
      <c r="E14" s="146">
        <v>1</v>
      </c>
      <c r="F14" s="146">
        <v>0</v>
      </c>
      <c r="G14" s="147">
        <v>0</v>
      </c>
      <c r="H14" s="147">
        <v>1</v>
      </c>
      <c r="I14" s="147">
        <v>0</v>
      </c>
      <c r="J14" s="148">
        <v>0</v>
      </c>
      <c r="K14" s="148">
        <v>0</v>
      </c>
      <c r="L14" s="148">
        <v>1</v>
      </c>
    </row>
    <row r="15" spans="1:12" hidden="1">
      <c r="A15" s="145">
        <v>0</v>
      </c>
      <c r="B15" s="145">
        <v>0</v>
      </c>
      <c r="C15" s="145">
        <v>1</v>
      </c>
      <c r="D15" s="146">
        <v>0</v>
      </c>
      <c r="E15" s="146">
        <v>0</v>
      </c>
      <c r="F15" s="146">
        <v>1</v>
      </c>
      <c r="G15" s="147">
        <v>0</v>
      </c>
      <c r="H15" s="147">
        <v>0</v>
      </c>
      <c r="I15" s="147">
        <v>1</v>
      </c>
      <c r="J15" s="148">
        <v>0</v>
      </c>
      <c r="K15" s="148">
        <v>0</v>
      </c>
      <c r="L15" s="148">
        <v>1</v>
      </c>
    </row>
    <row r="16" spans="1:12" hidden="1">
      <c r="A16" s="145">
        <v>1</v>
      </c>
      <c r="B16" s="145">
        <v>0</v>
      </c>
      <c r="C16" s="145">
        <v>0</v>
      </c>
      <c r="D16" s="146">
        <v>0</v>
      </c>
      <c r="E16" s="146">
        <v>1</v>
      </c>
      <c r="F16" s="146">
        <v>0</v>
      </c>
      <c r="G16" s="147">
        <v>0</v>
      </c>
      <c r="H16" s="147">
        <v>1</v>
      </c>
      <c r="I16" s="147">
        <v>0</v>
      </c>
      <c r="J16" s="148">
        <v>0</v>
      </c>
      <c r="K16" s="148">
        <v>1</v>
      </c>
      <c r="L16" s="148">
        <v>0</v>
      </c>
    </row>
    <row r="17" spans="1:12" hidden="1">
      <c r="A17" s="145">
        <v>0</v>
      </c>
      <c r="B17" s="145">
        <v>1</v>
      </c>
      <c r="C17" s="145">
        <v>0</v>
      </c>
      <c r="D17" s="146">
        <v>1</v>
      </c>
      <c r="E17" s="146">
        <v>0</v>
      </c>
      <c r="F17" s="146">
        <v>0</v>
      </c>
      <c r="G17" s="147">
        <v>1</v>
      </c>
      <c r="H17" s="147">
        <v>0</v>
      </c>
      <c r="I17" s="147">
        <v>0</v>
      </c>
      <c r="J17" s="148">
        <v>0</v>
      </c>
      <c r="K17" s="148">
        <v>1</v>
      </c>
      <c r="L17" s="148">
        <v>0</v>
      </c>
    </row>
    <row r="18" spans="1:12" hidden="1">
      <c r="A18" s="145">
        <v>0</v>
      </c>
      <c r="B18" s="145">
        <v>1</v>
      </c>
      <c r="C18" s="145">
        <v>0</v>
      </c>
      <c r="D18" s="146">
        <v>0</v>
      </c>
      <c r="E18" s="146">
        <v>1</v>
      </c>
      <c r="F18" s="146">
        <v>0</v>
      </c>
      <c r="G18" s="147">
        <v>0</v>
      </c>
      <c r="H18" s="147">
        <v>0</v>
      </c>
      <c r="I18" s="147">
        <v>1</v>
      </c>
      <c r="J18" s="148">
        <v>0</v>
      </c>
      <c r="K18" s="148">
        <v>1</v>
      </c>
      <c r="L18" s="148">
        <v>0</v>
      </c>
    </row>
    <row r="19" spans="1:12" hidden="1">
      <c r="A19" s="145">
        <v>0</v>
      </c>
      <c r="B19" s="145">
        <v>1</v>
      </c>
      <c r="C19" s="145">
        <v>0</v>
      </c>
      <c r="D19" s="146">
        <v>0</v>
      </c>
      <c r="E19" s="146">
        <v>0</v>
      </c>
      <c r="F19" s="146">
        <v>1</v>
      </c>
      <c r="G19" s="147">
        <v>1</v>
      </c>
      <c r="H19" s="147">
        <v>0</v>
      </c>
      <c r="I19" s="147">
        <v>0</v>
      </c>
      <c r="J19" s="148">
        <v>0</v>
      </c>
      <c r="K19" s="148">
        <v>0</v>
      </c>
      <c r="L19" s="148">
        <v>1</v>
      </c>
    </row>
    <row r="20" spans="1:12" hidden="1">
      <c r="A20" s="145">
        <v>0</v>
      </c>
      <c r="B20" s="145">
        <v>1</v>
      </c>
      <c r="C20" s="145">
        <v>0</v>
      </c>
      <c r="D20" s="146">
        <v>0</v>
      </c>
      <c r="E20" s="146">
        <v>0</v>
      </c>
      <c r="F20" s="146">
        <v>1</v>
      </c>
      <c r="G20" s="147">
        <v>0</v>
      </c>
      <c r="H20" s="147">
        <v>1</v>
      </c>
      <c r="I20" s="147">
        <v>0</v>
      </c>
      <c r="J20" s="148">
        <v>0</v>
      </c>
      <c r="K20" s="148">
        <v>0</v>
      </c>
      <c r="L20" s="148">
        <v>1</v>
      </c>
    </row>
    <row r="21" spans="1:12" hidden="1">
      <c r="A21" s="145">
        <v>0</v>
      </c>
      <c r="B21" s="145">
        <v>1</v>
      </c>
      <c r="C21" s="145">
        <v>0</v>
      </c>
      <c r="D21" s="146">
        <v>1</v>
      </c>
      <c r="E21" s="146">
        <v>0</v>
      </c>
      <c r="F21" s="146">
        <v>0</v>
      </c>
      <c r="G21" s="147">
        <v>0</v>
      </c>
      <c r="H21" s="147">
        <v>1</v>
      </c>
      <c r="I21" s="147">
        <v>0</v>
      </c>
      <c r="J21" s="148">
        <v>0</v>
      </c>
      <c r="K21" s="148">
        <v>1</v>
      </c>
      <c r="L21" s="148">
        <v>0</v>
      </c>
    </row>
    <row r="22" spans="1:12" hidden="1">
      <c r="A22" s="145">
        <v>0</v>
      </c>
      <c r="B22" s="145">
        <v>1</v>
      </c>
      <c r="C22" s="145">
        <v>0</v>
      </c>
      <c r="D22" s="146">
        <v>0</v>
      </c>
      <c r="E22" s="146">
        <v>1</v>
      </c>
      <c r="F22" s="146">
        <v>0</v>
      </c>
      <c r="G22" s="147">
        <v>1</v>
      </c>
      <c r="H22" s="147">
        <v>0</v>
      </c>
      <c r="I22" s="147">
        <v>0</v>
      </c>
      <c r="J22" s="148">
        <v>0</v>
      </c>
      <c r="K22" s="148">
        <v>1</v>
      </c>
      <c r="L22" s="148">
        <v>0</v>
      </c>
    </row>
    <row r="23" spans="1:12" hidden="1">
      <c r="A23" s="145">
        <v>0</v>
      </c>
      <c r="B23" s="145">
        <v>1</v>
      </c>
      <c r="C23" s="145">
        <v>0</v>
      </c>
      <c r="D23" s="146">
        <v>1</v>
      </c>
      <c r="E23" s="146">
        <v>0</v>
      </c>
      <c r="F23" s="146">
        <v>0</v>
      </c>
      <c r="G23" s="147">
        <v>1</v>
      </c>
      <c r="H23" s="147">
        <v>0</v>
      </c>
      <c r="I23" s="147">
        <v>0</v>
      </c>
      <c r="J23" s="148">
        <v>0</v>
      </c>
      <c r="K23" s="148">
        <v>1</v>
      </c>
      <c r="L23" s="148">
        <v>0</v>
      </c>
    </row>
    <row r="24" spans="1:12" hidden="1">
      <c r="A24" s="145">
        <v>0</v>
      </c>
      <c r="B24" s="145">
        <v>0</v>
      </c>
      <c r="C24" s="145">
        <v>1</v>
      </c>
      <c r="D24" s="146">
        <v>0</v>
      </c>
      <c r="E24" s="146">
        <v>0</v>
      </c>
      <c r="F24" s="146">
        <v>1</v>
      </c>
      <c r="G24" s="147">
        <v>0</v>
      </c>
      <c r="H24" s="147">
        <v>0</v>
      </c>
      <c r="I24" s="147">
        <v>1</v>
      </c>
      <c r="J24" s="148">
        <v>0</v>
      </c>
      <c r="K24" s="148">
        <v>0</v>
      </c>
      <c r="L24" s="148">
        <v>1</v>
      </c>
    </row>
    <row r="25" spans="1:12" hidden="1">
      <c r="A25" s="145">
        <v>1</v>
      </c>
      <c r="B25" s="145">
        <v>0</v>
      </c>
      <c r="C25" s="145">
        <v>0</v>
      </c>
      <c r="D25" s="146">
        <v>1</v>
      </c>
      <c r="E25" s="146">
        <v>0</v>
      </c>
      <c r="F25" s="146">
        <v>0</v>
      </c>
      <c r="G25" s="147">
        <v>1</v>
      </c>
      <c r="H25" s="147">
        <v>0</v>
      </c>
      <c r="I25" s="147">
        <v>0</v>
      </c>
      <c r="J25" s="148">
        <v>0</v>
      </c>
      <c r="K25" s="148">
        <v>1</v>
      </c>
      <c r="L25" s="148">
        <v>0</v>
      </c>
    </row>
    <row r="26" spans="1:12" hidden="1">
      <c r="A26" s="145">
        <v>1</v>
      </c>
      <c r="B26" s="145">
        <v>0</v>
      </c>
      <c r="C26" s="145">
        <v>0</v>
      </c>
      <c r="D26" s="146">
        <v>0</v>
      </c>
      <c r="E26" s="146">
        <v>1</v>
      </c>
      <c r="F26" s="146">
        <v>0</v>
      </c>
      <c r="G26" s="147">
        <v>0</v>
      </c>
      <c r="H26" s="147">
        <v>1</v>
      </c>
      <c r="I26" s="147">
        <v>0</v>
      </c>
      <c r="J26" s="148">
        <v>0</v>
      </c>
      <c r="K26" s="148">
        <v>0</v>
      </c>
      <c r="L26" s="148">
        <v>1</v>
      </c>
    </row>
    <row r="27" spans="1:12" hidden="1">
      <c r="A27" s="145">
        <v>0</v>
      </c>
      <c r="B27" s="145">
        <v>1</v>
      </c>
      <c r="C27" s="145">
        <v>0</v>
      </c>
      <c r="D27" s="146">
        <v>0</v>
      </c>
      <c r="E27" s="146">
        <v>0</v>
      </c>
      <c r="F27" s="146">
        <v>1</v>
      </c>
      <c r="G27" s="147">
        <v>1</v>
      </c>
      <c r="H27" s="147">
        <v>0</v>
      </c>
      <c r="I27" s="147">
        <v>0</v>
      </c>
      <c r="J27" s="148">
        <v>0</v>
      </c>
      <c r="K27" s="148">
        <v>1</v>
      </c>
      <c r="L27" s="148">
        <v>0</v>
      </c>
    </row>
    <row r="28" spans="1:12" hidden="1">
      <c r="A28" s="145">
        <v>1</v>
      </c>
      <c r="B28" s="145">
        <v>0</v>
      </c>
      <c r="C28" s="145">
        <v>0</v>
      </c>
      <c r="D28" s="146">
        <v>0</v>
      </c>
      <c r="E28" s="146">
        <v>1</v>
      </c>
      <c r="F28" s="146">
        <v>0</v>
      </c>
      <c r="G28" s="147">
        <v>0</v>
      </c>
      <c r="H28" s="147">
        <v>1</v>
      </c>
      <c r="I28" s="147">
        <v>0</v>
      </c>
      <c r="J28" s="148">
        <v>0</v>
      </c>
      <c r="K28" s="148">
        <v>0</v>
      </c>
      <c r="L28" s="148">
        <v>1</v>
      </c>
    </row>
    <row r="29" spans="1:12" hidden="1">
      <c r="A29" s="145">
        <v>0</v>
      </c>
      <c r="B29" s="145">
        <v>1</v>
      </c>
      <c r="C29" s="145">
        <v>0</v>
      </c>
      <c r="D29" s="146">
        <v>0</v>
      </c>
      <c r="E29" s="146">
        <v>1</v>
      </c>
      <c r="F29" s="146">
        <v>0</v>
      </c>
      <c r="G29" s="147">
        <v>0</v>
      </c>
      <c r="H29" s="147">
        <v>0</v>
      </c>
      <c r="I29" s="147">
        <v>1</v>
      </c>
      <c r="J29" s="148">
        <v>0</v>
      </c>
      <c r="K29" s="148">
        <v>0</v>
      </c>
      <c r="L29" s="148">
        <v>1</v>
      </c>
    </row>
    <row r="30" spans="1:12" hidden="1">
      <c r="A30" s="145">
        <v>0</v>
      </c>
      <c r="B30" s="145">
        <v>1</v>
      </c>
      <c r="C30" s="145">
        <v>0</v>
      </c>
      <c r="D30" s="146">
        <v>0</v>
      </c>
      <c r="E30" s="146">
        <v>1</v>
      </c>
      <c r="F30" s="146">
        <v>0</v>
      </c>
      <c r="G30" s="147">
        <v>0</v>
      </c>
      <c r="H30" s="147">
        <v>1</v>
      </c>
      <c r="I30" s="147">
        <v>0</v>
      </c>
      <c r="J30" s="148">
        <v>0</v>
      </c>
      <c r="K30" s="148">
        <v>1</v>
      </c>
      <c r="L30" s="148">
        <v>0</v>
      </c>
    </row>
    <row r="31" spans="1:12" hidden="1">
      <c r="A31" s="145">
        <v>0</v>
      </c>
      <c r="B31" s="145">
        <v>1</v>
      </c>
      <c r="C31" s="145">
        <v>0</v>
      </c>
      <c r="D31" s="146">
        <v>0</v>
      </c>
      <c r="E31" s="146">
        <v>0</v>
      </c>
      <c r="F31" s="146">
        <v>1</v>
      </c>
      <c r="G31" s="147">
        <v>0</v>
      </c>
      <c r="H31" s="147">
        <v>1</v>
      </c>
      <c r="I31" s="147">
        <v>0</v>
      </c>
      <c r="J31" s="148">
        <v>1</v>
      </c>
      <c r="K31" s="148">
        <v>0</v>
      </c>
      <c r="L31" s="148">
        <v>0</v>
      </c>
    </row>
    <row r="32" spans="1:12" hidden="1">
      <c r="A32" s="145">
        <v>0</v>
      </c>
      <c r="B32" s="145">
        <v>1</v>
      </c>
      <c r="C32" s="145">
        <v>0</v>
      </c>
      <c r="D32" s="146">
        <v>0</v>
      </c>
      <c r="E32" s="146">
        <v>1</v>
      </c>
      <c r="F32" s="146">
        <v>0</v>
      </c>
      <c r="G32" s="147">
        <v>0</v>
      </c>
      <c r="H32" s="147">
        <v>1</v>
      </c>
      <c r="I32" s="147">
        <v>0</v>
      </c>
      <c r="J32" s="148">
        <v>0</v>
      </c>
      <c r="K32" s="148">
        <v>1</v>
      </c>
      <c r="L32" s="148">
        <v>0</v>
      </c>
    </row>
    <row r="33" spans="1:12" hidden="1">
      <c r="A33" s="145">
        <v>0</v>
      </c>
      <c r="B33" s="145">
        <v>1</v>
      </c>
      <c r="C33" s="145">
        <v>0</v>
      </c>
      <c r="D33" s="146">
        <v>0</v>
      </c>
      <c r="E33" s="146">
        <v>0</v>
      </c>
      <c r="F33" s="146">
        <v>1</v>
      </c>
      <c r="G33" s="147">
        <v>1</v>
      </c>
      <c r="H33" s="147">
        <v>0</v>
      </c>
      <c r="I33" s="147">
        <v>0</v>
      </c>
      <c r="J33" s="148">
        <v>0</v>
      </c>
      <c r="K33" s="148">
        <v>1</v>
      </c>
      <c r="L33" s="148">
        <v>0</v>
      </c>
    </row>
    <row r="34" spans="1:12" hidden="1">
      <c r="A34" s="145">
        <v>1</v>
      </c>
      <c r="B34" s="145">
        <v>0</v>
      </c>
      <c r="C34" s="145">
        <v>0</v>
      </c>
      <c r="D34" s="146">
        <v>0</v>
      </c>
      <c r="E34" s="146">
        <v>1</v>
      </c>
      <c r="F34" s="146">
        <v>0</v>
      </c>
      <c r="G34" s="147">
        <v>0</v>
      </c>
      <c r="H34" s="147">
        <v>1</v>
      </c>
      <c r="I34" s="147">
        <v>0</v>
      </c>
      <c r="J34" s="148">
        <v>1</v>
      </c>
      <c r="K34" s="148">
        <v>0</v>
      </c>
      <c r="L34" s="148">
        <v>0</v>
      </c>
    </row>
    <row r="35" spans="1:12" hidden="1">
      <c r="A35" s="145">
        <v>1</v>
      </c>
      <c r="B35" s="145">
        <v>0</v>
      </c>
      <c r="C35" s="145">
        <v>0</v>
      </c>
      <c r="D35" s="146">
        <v>0</v>
      </c>
      <c r="E35" s="146">
        <v>1</v>
      </c>
      <c r="F35" s="146">
        <v>0</v>
      </c>
      <c r="G35" s="147">
        <v>1</v>
      </c>
      <c r="H35" s="147">
        <v>0</v>
      </c>
      <c r="I35" s="147">
        <v>0</v>
      </c>
      <c r="J35" s="148">
        <v>0</v>
      </c>
      <c r="K35" s="148">
        <v>0</v>
      </c>
      <c r="L35" s="148">
        <v>1</v>
      </c>
    </row>
    <row r="36" spans="1:12" hidden="1">
      <c r="A36" s="145">
        <v>1</v>
      </c>
      <c r="B36" s="145">
        <v>0</v>
      </c>
      <c r="C36" s="145">
        <v>0</v>
      </c>
      <c r="D36" s="146">
        <v>1</v>
      </c>
      <c r="E36" s="146">
        <v>0</v>
      </c>
      <c r="F36" s="146">
        <v>0</v>
      </c>
      <c r="G36" s="147">
        <v>0</v>
      </c>
      <c r="H36" s="147">
        <v>1</v>
      </c>
      <c r="I36" s="147">
        <v>0</v>
      </c>
      <c r="J36" s="148">
        <v>1</v>
      </c>
      <c r="K36" s="148">
        <v>0</v>
      </c>
      <c r="L36" s="148">
        <v>0</v>
      </c>
    </row>
    <row r="37" spans="1:12" hidden="1">
      <c r="A37" s="145">
        <v>0</v>
      </c>
      <c r="B37" s="145">
        <v>0</v>
      </c>
      <c r="C37" s="145">
        <v>1</v>
      </c>
      <c r="D37" s="146">
        <v>0</v>
      </c>
      <c r="E37" s="146">
        <v>1</v>
      </c>
      <c r="F37" s="146">
        <v>0</v>
      </c>
      <c r="G37" s="147">
        <v>0</v>
      </c>
      <c r="H37" s="147">
        <v>0</v>
      </c>
      <c r="I37" s="147">
        <v>1</v>
      </c>
      <c r="J37" s="148">
        <v>0</v>
      </c>
      <c r="K37" s="148">
        <v>1</v>
      </c>
      <c r="L37" s="148">
        <v>0</v>
      </c>
    </row>
    <row r="38" spans="1:12" hidden="1">
      <c r="A38" s="145">
        <v>1</v>
      </c>
      <c r="B38" s="145">
        <v>0</v>
      </c>
      <c r="C38" s="145">
        <v>0</v>
      </c>
      <c r="D38" s="146">
        <v>1</v>
      </c>
      <c r="E38" s="146">
        <v>0</v>
      </c>
      <c r="F38" s="146">
        <v>0</v>
      </c>
      <c r="G38" s="147">
        <v>0</v>
      </c>
      <c r="H38" s="147">
        <v>1</v>
      </c>
      <c r="I38" s="147">
        <v>0</v>
      </c>
      <c r="J38" s="148">
        <v>1</v>
      </c>
      <c r="K38" s="148">
        <v>0</v>
      </c>
      <c r="L38" s="148">
        <v>0</v>
      </c>
    </row>
    <row r="39" spans="1:12" hidden="1">
      <c r="A39" s="145">
        <v>1</v>
      </c>
      <c r="B39" s="145">
        <v>0</v>
      </c>
      <c r="C39" s="145">
        <v>0</v>
      </c>
      <c r="D39" s="146">
        <v>1</v>
      </c>
      <c r="E39" s="146">
        <v>0</v>
      </c>
      <c r="F39" s="146">
        <v>0</v>
      </c>
      <c r="G39" s="147">
        <v>1</v>
      </c>
      <c r="H39" s="147">
        <v>0</v>
      </c>
      <c r="I39" s="147">
        <v>0</v>
      </c>
      <c r="J39" s="148">
        <v>0</v>
      </c>
      <c r="K39" s="148">
        <v>1</v>
      </c>
      <c r="L39" s="148">
        <v>0</v>
      </c>
    </row>
    <row r="40" spans="1:12" hidden="1">
      <c r="A40" s="145">
        <v>1</v>
      </c>
      <c r="B40" s="145">
        <v>0</v>
      </c>
      <c r="C40" s="145">
        <v>0</v>
      </c>
      <c r="D40" s="146">
        <v>1</v>
      </c>
      <c r="E40" s="146">
        <v>0</v>
      </c>
      <c r="F40" s="146">
        <v>0</v>
      </c>
      <c r="G40" s="147">
        <v>1</v>
      </c>
      <c r="H40" s="147">
        <v>0</v>
      </c>
      <c r="I40" s="147">
        <v>0</v>
      </c>
      <c r="J40" s="148">
        <v>1</v>
      </c>
      <c r="K40" s="148">
        <v>0</v>
      </c>
      <c r="L40" s="148">
        <v>0</v>
      </c>
    </row>
    <row r="41" spans="1:12" hidden="1">
      <c r="A41" s="145">
        <v>0</v>
      </c>
      <c r="B41" s="145">
        <v>1</v>
      </c>
      <c r="C41" s="145">
        <v>0</v>
      </c>
      <c r="D41" s="146">
        <v>0</v>
      </c>
      <c r="E41" s="146">
        <v>1</v>
      </c>
      <c r="F41" s="146">
        <v>0</v>
      </c>
      <c r="G41" s="147">
        <v>0</v>
      </c>
      <c r="H41" s="147">
        <v>0</v>
      </c>
      <c r="I41" s="147">
        <v>1</v>
      </c>
      <c r="J41" s="148">
        <v>0</v>
      </c>
      <c r="K41" s="148">
        <v>1</v>
      </c>
      <c r="L41" s="148">
        <v>0</v>
      </c>
    </row>
    <row r="42" spans="1:12" hidden="1">
      <c r="A42" s="145">
        <v>0</v>
      </c>
      <c r="B42" s="145">
        <v>1</v>
      </c>
      <c r="C42" s="145">
        <v>0</v>
      </c>
      <c r="D42" s="146">
        <v>0</v>
      </c>
      <c r="E42" s="146">
        <v>0</v>
      </c>
      <c r="F42" s="146">
        <v>1</v>
      </c>
      <c r="G42" s="147">
        <v>0</v>
      </c>
      <c r="H42" s="147">
        <v>1</v>
      </c>
      <c r="I42" s="147">
        <v>0</v>
      </c>
      <c r="J42" s="148">
        <v>0</v>
      </c>
      <c r="K42" s="148">
        <v>1</v>
      </c>
      <c r="L42" s="148">
        <v>0</v>
      </c>
    </row>
    <row r="43" spans="1:12" hidden="1">
      <c r="A43" s="145">
        <v>0</v>
      </c>
      <c r="B43" s="145">
        <v>0</v>
      </c>
      <c r="C43" s="145">
        <v>1</v>
      </c>
      <c r="D43" s="146">
        <v>0</v>
      </c>
      <c r="E43" s="146">
        <v>1</v>
      </c>
      <c r="F43" s="146">
        <v>0</v>
      </c>
      <c r="G43" s="147">
        <v>0</v>
      </c>
      <c r="H43" s="147">
        <v>1</v>
      </c>
      <c r="I43" s="147">
        <v>0</v>
      </c>
      <c r="J43" s="148">
        <v>0</v>
      </c>
      <c r="K43" s="148">
        <v>0</v>
      </c>
      <c r="L43" s="148">
        <v>1</v>
      </c>
    </row>
    <row r="44" spans="1:12" hidden="1">
      <c r="A44" s="145">
        <v>1</v>
      </c>
      <c r="B44" s="145">
        <v>0</v>
      </c>
      <c r="C44" s="145">
        <v>0</v>
      </c>
      <c r="D44" s="146">
        <v>0</v>
      </c>
      <c r="E44" s="146">
        <v>1</v>
      </c>
      <c r="F44" s="146">
        <v>0</v>
      </c>
      <c r="G44" s="147">
        <v>1</v>
      </c>
      <c r="H44" s="147">
        <v>0</v>
      </c>
      <c r="I44" s="147">
        <v>0</v>
      </c>
      <c r="J44" s="148">
        <v>1</v>
      </c>
      <c r="K44" s="148">
        <v>0</v>
      </c>
      <c r="L44" s="148">
        <v>0</v>
      </c>
    </row>
    <row r="45" spans="1:12" hidden="1">
      <c r="A45" s="145">
        <v>1</v>
      </c>
      <c r="B45" s="145">
        <v>0</v>
      </c>
      <c r="C45" s="145">
        <v>0</v>
      </c>
      <c r="D45" s="146">
        <v>1</v>
      </c>
      <c r="E45" s="146">
        <v>0</v>
      </c>
      <c r="F45" s="146">
        <v>0</v>
      </c>
      <c r="G45" s="147">
        <v>0</v>
      </c>
      <c r="H45" s="147">
        <v>0</v>
      </c>
      <c r="I45" s="147">
        <v>1</v>
      </c>
      <c r="J45" s="148">
        <v>0</v>
      </c>
      <c r="K45" s="148">
        <v>0</v>
      </c>
      <c r="L45" s="148">
        <v>1</v>
      </c>
    </row>
    <row r="46" spans="1:12" hidden="1">
      <c r="A46" s="145">
        <v>0</v>
      </c>
      <c r="B46" s="145">
        <v>1</v>
      </c>
      <c r="C46" s="145">
        <v>0</v>
      </c>
      <c r="D46" s="146">
        <v>1</v>
      </c>
      <c r="E46" s="146">
        <v>0</v>
      </c>
      <c r="F46" s="146">
        <v>0</v>
      </c>
      <c r="G46" s="147">
        <v>0</v>
      </c>
      <c r="H46" s="147">
        <v>1</v>
      </c>
      <c r="I46" s="147">
        <v>0</v>
      </c>
      <c r="J46" s="148">
        <v>1</v>
      </c>
      <c r="K46" s="148">
        <v>0</v>
      </c>
      <c r="L46" s="148">
        <v>0</v>
      </c>
    </row>
    <row r="47" spans="1:12" hidden="1">
      <c r="A47" s="145">
        <v>0</v>
      </c>
      <c r="B47" s="145">
        <v>1</v>
      </c>
      <c r="C47" s="145">
        <v>0</v>
      </c>
      <c r="D47" s="146">
        <v>0</v>
      </c>
      <c r="E47" s="146">
        <v>0</v>
      </c>
      <c r="F47" s="146">
        <v>1</v>
      </c>
      <c r="G47" s="147">
        <v>0</v>
      </c>
      <c r="H47" s="147">
        <v>0</v>
      </c>
      <c r="I47" s="147">
        <v>1</v>
      </c>
      <c r="J47" s="148">
        <v>0</v>
      </c>
      <c r="K47" s="148">
        <v>1</v>
      </c>
      <c r="L47" s="148">
        <v>0</v>
      </c>
    </row>
    <row r="48" spans="1:12" hidden="1">
      <c r="A48" s="145">
        <v>0</v>
      </c>
      <c r="B48" s="145">
        <v>0</v>
      </c>
      <c r="C48" s="145">
        <v>1</v>
      </c>
      <c r="D48" s="146">
        <v>0</v>
      </c>
      <c r="E48" s="146">
        <v>1</v>
      </c>
      <c r="F48" s="146">
        <v>0</v>
      </c>
      <c r="G48" s="147">
        <v>0</v>
      </c>
      <c r="H48" s="147">
        <v>0</v>
      </c>
      <c r="I48" s="147">
        <v>1</v>
      </c>
      <c r="J48" s="148">
        <v>0</v>
      </c>
      <c r="K48" s="148">
        <v>1</v>
      </c>
      <c r="L48" s="148">
        <v>0</v>
      </c>
    </row>
    <row r="49" spans="1:12" hidden="1">
      <c r="A49" s="145">
        <v>1</v>
      </c>
      <c r="B49" s="145">
        <v>0</v>
      </c>
      <c r="C49" s="145">
        <v>0</v>
      </c>
      <c r="D49" s="146">
        <v>1</v>
      </c>
      <c r="E49" s="146">
        <v>0</v>
      </c>
      <c r="F49" s="146">
        <v>0</v>
      </c>
      <c r="G49" s="147">
        <v>0</v>
      </c>
      <c r="H49" s="147">
        <v>1</v>
      </c>
      <c r="I49" s="147">
        <v>0</v>
      </c>
      <c r="J49" s="148">
        <v>1</v>
      </c>
      <c r="K49" s="148">
        <v>0</v>
      </c>
      <c r="L49" s="148">
        <v>0</v>
      </c>
    </row>
    <row r="50" spans="1:12" hidden="1">
      <c r="A50" s="145">
        <v>0</v>
      </c>
      <c r="B50" s="145">
        <v>1</v>
      </c>
      <c r="C50" s="145">
        <v>0</v>
      </c>
      <c r="D50" s="146">
        <v>0</v>
      </c>
      <c r="E50" s="146">
        <v>0</v>
      </c>
      <c r="F50" s="146">
        <v>1</v>
      </c>
      <c r="G50" s="147">
        <v>0</v>
      </c>
      <c r="H50" s="147">
        <v>1</v>
      </c>
      <c r="I50" s="147">
        <v>0</v>
      </c>
      <c r="J50" s="148">
        <v>1</v>
      </c>
      <c r="K50" s="148">
        <v>0</v>
      </c>
      <c r="L50" s="148">
        <v>0</v>
      </c>
    </row>
    <row r="51" spans="1:12" hidden="1">
      <c r="A51" s="145">
        <v>0</v>
      </c>
      <c r="B51" s="145">
        <v>0</v>
      </c>
      <c r="C51" s="145">
        <v>1</v>
      </c>
      <c r="D51" s="146">
        <v>0</v>
      </c>
      <c r="E51" s="146">
        <v>0</v>
      </c>
      <c r="F51" s="146">
        <v>1</v>
      </c>
      <c r="G51" s="147">
        <v>0</v>
      </c>
      <c r="H51" s="147">
        <v>0</v>
      </c>
      <c r="I51" s="147">
        <v>1</v>
      </c>
      <c r="J51" s="148">
        <v>0</v>
      </c>
      <c r="K51" s="148">
        <v>0</v>
      </c>
      <c r="L51" s="148">
        <v>1</v>
      </c>
    </row>
    <row r="52" spans="1:12" hidden="1">
      <c r="A52" s="145">
        <v>0</v>
      </c>
      <c r="B52" s="145">
        <v>0</v>
      </c>
      <c r="C52" s="145">
        <v>1</v>
      </c>
      <c r="D52" s="146">
        <v>0</v>
      </c>
      <c r="E52" s="146">
        <v>1</v>
      </c>
      <c r="F52" s="146">
        <v>0</v>
      </c>
      <c r="G52" s="147">
        <v>0</v>
      </c>
      <c r="H52" s="147">
        <v>1</v>
      </c>
      <c r="I52" s="147">
        <v>0</v>
      </c>
      <c r="J52" s="148">
        <v>0</v>
      </c>
      <c r="K52" s="148">
        <v>1</v>
      </c>
      <c r="L52" s="148">
        <v>0</v>
      </c>
    </row>
    <row r="53" spans="1:12" hidden="1">
      <c r="A53" s="145">
        <v>0</v>
      </c>
      <c r="B53" s="145">
        <v>1</v>
      </c>
      <c r="C53" s="145">
        <v>0</v>
      </c>
      <c r="D53" s="146">
        <v>0</v>
      </c>
      <c r="E53" s="146">
        <v>0</v>
      </c>
      <c r="F53" s="146">
        <v>1</v>
      </c>
      <c r="G53" s="147">
        <v>0</v>
      </c>
      <c r="H53" s="147">
        <v>1</v>
      </c>
      <c r="I53" s="147">
        <v>0</v>
      </c>
      <c r="J53" s="148">
        <v>1</v>
      </c>
      <c r="K53" s="148">
        <v>0</v>
      </c>
      <c r="L53" s="148">
        <v>0</v>
      </c>
    </row>
    <row r="54" spans="1:12" hidden="1">
      <c r="A54" s="145">
        <v>0</v>
      </c>
      <c r="B54" s="145">
        <v>1</v>
      </c>
      <c r="C54" s="145">
        <v>0</v>
      </c>
      <c r="D54" s="146">
        <v>0</v>
      </c>
      <c r="E54" s="146">
        <v>0</v>
      </c>
      <c r="F54" s="146">
        <v>1</v>
      </c>
      <c r="G54" s="147">
        <v>0</v>
      </c>
      <c r="H54" s="147">
        <v>1</v>
      </c>
      <c r="I54" s="147">
        <v>0</v>
      </c>
      <c r="J54" s="148">
        <v>1</v>
      </c>
      <c r="K54" s="148">
        <v>0</v>
      </c>
      <c r="L54" s="148">
        <v>0</v>
      </c>
    </row>
    <row r="55" spans="1:12" hidden="1">
      <c r="A55" s="145">
        <v>0</v>
      </c>
      <c r="B55" s="145">
        <v>1</v>
      </c>
      <c r="C55" s="145">
        <v>0</v>
      </c>
      <c r="D55" s="146">
        <v>0</v>
      </c>
      <c r="E55" s="146">
        <v>1</v>
      </c>
      <c r="F55" s="146">
        <v>0</v>
      </c>
      <c r="G55" s="147">
        <v>0</v>
      </c>
      <c r="H55" s="147">
        <v>1</v>
      </c>
      <c r="I55" s="147">
        <v>0</v>
      </c>
      <c r="J55" s="148">
        <v>0</v>
      </c>
      <c r="K55" s="148">
        <v>1</v>
      </c>
      <c r="L55" s="148">
        <v>0</v>
      </c>
    </row>
    <row r="56" spans="1:12" hidden="1">
      <c r="A56" s="145">
        <v>0</v>
      </c>
      <c r="B56" s="145">
        <v>1</v>
      </c>
      <c r="C56" s="145">
        <v>0</v>
      </c>
      <c r="D56" s="146">
        <v>0</v>
      </c>
      <c r="E56" s="146">
        <v>1</v>
      </c>
      <c r="F56" s="146">
        <v>0</v>
      </c>
      <c r="G56" s="147">
        <v>1</v>
      </c>
      <c r="H56" s="147">
        <v>0</v>
      </c>
      <c r="I56" s="147">
        <v>0</v>
      </c>
      <c r="J56" s="148">
        <v>0</v>
      </c>
      <c r="K56" s="148">
        <v>1</v>
      </c>
      <c r="L56" s="148">
        <v>0</v>
      </c>
    </row>
    <row r="57" spans="1:12" hidden="1">
      <c r="A57" s="145">
        <v>1</v>
      </c>
      <c r="B57" s="145">
        <v>0</v>
      </c>
      <c r="C57" s="145">
        <v>0</v>
      </c>
      <c r="D57" s="146">
        <v>0</v>
      </c>
      <c r="E57" s="146">
        <v>1</v>
      </c>
      <c r="F57" s="146">
        <v>0</v>
      </c>
      <c r="G57" s="147">
        <v>0</v>
      </c>
      <c r="H57" s="147">
        <v>1</v>
      </c>
      <c r="I57" s="147">
        <v>0</v>
      </c>
      <c r="J57" s="148">
        <v>0</v>
      </c>
      <c r="K57" s="148">
        <v>1</v>
      </c>
      <c r="L57" s="148">
        <v>0</v>
      </c>
    </row>
    <row r="58" spans="1:12" hidden="1">
      <c r="A58" s="145">
        <v>0</v>
      </c>
      <c r="B58" s="145">
        <v>1</v>
      </c>
      <c r="C58" s="145">
        <v>0</v>
      </c>
      <c r="D58" s="146">
        <v>1</v>
      </c>
      <c r="E58" s="146">
        <v>0</v>
      </c>
      <c r="F58" s="146">
        <v>0</v>
      </c>
      <c r="G58" s="147">
        <v>0</v>
      </c>
      <c r="H58" s="147">
        <v>1</v>
      </c>
      <c r="I58" s="147">
        <v>0</v>
      </c>
      <c r="J58" s="148">
        <v>1</v>
      </c>
      <c r="K58" s="148">
        <v>0</v>
      </c>
      <c r="L58" s="148">
        <v>0</v>
      </c>
    </row>
    <row r="59" spans="1:12" hidden="1">
      <c r="A59" s="145">
        <v>1</v>
      </c>
      <c r="B59" s="145">
        <v>0</v>
      </c>
      <c r="C59" s="145">
        <v>0</v>
      </c>
      <c r="D59" s="146">
        <v>0</v>
      </c>
      <c r="E59" s="146">
        <v>0</v>
      </c>
      <c r="F59" s="146">
        <v>1</v>
      </c>
      <c r="G59" s="147">
        <v>0</v>
      </c>
      <c r="H59" s="147">
        <v>1</v>
      </c>
      <c r="I59" s="147">
        <v>0</v>
      </c>
      <c r="J59" s="148">
        <v>1</v>
      </c>
      <c r="K59" s="148">
        <v>0</v>
      </c>
      <c r="L59" s="148">
        <v>0</v>
      </c>
    </row>
    <row r="60" spans="1:12" hidden="1">
      <c r="A60" s="145">
        <v>0</v>
      </c>
      <c r="B60" s="145">
        <v>1</v>
      </c>
      <c r="C60" s="145">
        <v>0</v>
      </c>
      <c r="D60" s="146">
        <v>0</v>
      </c>
      <c r="E60" s="146">
        <v>0</v>
      </c>
      <c r="F60" s="146">
        <v>1</v>
      </c>
      <c r="G60" s="147">
        <v>0</v>
      </c>
      <c r="H60" s="147">
        <v>1</v>
      </c>
      <c r="I60" s="147">
        <v>0</v>
      </c>
      <c r="J60" s="148">
        <v>0</v>
      </c>
      <c r="K60" s="148">
        <v>1</v>
      </c>
      <c r="L60" s="148">
        <v>0</v>
      </c>
    </row>
    <row r="61" spans="1:12" hidden="1">
      <c r="A61" s="145">
        <v>1</v>
      </c>
      <c r="B61" s="145">
        <v>0</v>
      </c>
      <c r="C61" s="145">
        <v>0</v>
      </c>
      <c r="D61" s="146">
        <v>0</v>
      </c>
      <c r="E61" s="146">
        <v>1</v>
      </c>
      <c r="F61" s="146">
        <v>0</v>
      </c>
      <c r="G61" s="147">
        <v>0</v>
      </c>
      <c r="H61" s="147">
        <v>1</v>
      </c>
      <c r="I61" s="147">
        <v>0</v>
      </c>
      <c r="J61" s="148">
        <v>0</v>
      </c>
      <c r="K61" s="148">
        <v>1</v>
      </c>
      <c r="L61" s="148">
        <v>0</v>
      </c>
    </row>
    <row r="62" spans="1:12" hidden="1">
      <c r="A62" s="145">
        <v>0</v>
      </c>
      <c r="B62" s="145">
        <v>1</v>
      </c>
      <c r="C62" s="145">
        <v>0</v>
      </c>
      <c r="D62" s="146">
        <v>1</v>
      </c>
      <c r="E62" s="146">
        <v>0</v>
      </c>
      <c r="F62" s="146">
        <v>0</v>
      </c>
      <c r="G62" s="147">
        <v>0</v>
      </c>
      <c r="H62" s="147">
        <v>1</v>
      </c>
      <c r="I62" s="147">
        <v>0</v>
      </c>
      <c r="J62" s="148">
        <v>1</v>
      </c>
      <c r="K62" s="148">
        <v>0</v>
      </c>
      <c r="L62" s="148">
        <v>0</v>
      </c>
    </row>
    <row r="63" spans="1:12" hidden="1">
      <c r="A63" s="145">
        <v>0</v>
      </c>
      <c r="B63" s="145">
        <v>0</v>
      </c>
      <c r="C63" s="145">
        <v>1</v>
      </c>
      <c r="D63" s="146">
        <v>0</v>
      </c>
      <c r="E63" s="146">
        <v>1</v>
      </c>
      <c r="F63" s="146">
        <v>0</v>
      </c>
      <c r="G63" s="147">
        <v>0</v>
      </c>
      <c r="H63" s="147">
        <v>1</v>
      </c>
      <c r="I63" s="147">
        <v>0</v>
      </c>
      <c r="J63" s="148">
        <v>0</v>
      </c>
      <c r="K63" s="148">
        <v>1</v>
      </c>
      <c r="L63" s="148">
        <v>0</v>
      </c>
    </row>
    <row r="64" spans="1:12" hidden="1">
      <c r="A64" s="145">
        <v>1</v>
      </c>
      <c r="B64" s="145">
        <v>0</v>
      </c>
      <c r="C64" s="145">
        <v>0</v>
      </c>
      <c r="D64" s="146">
        <v>0</v>
      </c>
      <c r="E64" s="146">
        <v>1</v>
      </c>
      <c r="F64" s="146">
        <v>0</v>
      </c>
      <c r="G64" s="147">
        <v>1</v>
      </c>
      <c r="H64" s="147">
        <v>0</v>
      </c>
      <c r="I64" s="147">
        <v>0</v>
      </c>
      <c r="J64" s="148">
        <v>0</v>
      </c>
      <c r="K64" s="148">
        <v>0</v>
      </c>
      <c r="L64" s="148">
        <v>1</v>
      </c>
    </row>
    <row r="65" spans="1:12" hidden="1">
      <c r="A65" s="145">
        <v>1</v>
      </c>
      <c r="B65" s="145">
        <v>0</v>
      </c>
      <c r="C65" s="145">
        <v>0</v>
      </c>
      <c r="D65" s="146">
        <v>1</v>
      </c>
      <c r="E65" s="146">
        <v>0</v>
      </c>
      <c r="F65" s="146">
        <v>0</v>
      </c>
      <c r="G65" s="147">
        <v>0</v>
      </c>
      <c r="H65" s="147">
        <v>1</v>
      </c>
      <c r="I65" s="147">
        <v>0</v>
      </c>
      <c r="J65" s="148">
        <v>0</v>
      </c>
      <c r="K65" s="148">
        <v>1</v>
      </c>
      <c r="L65" s="148">
        <v>0</v>
      </c>
    </row>
    <row r="66" spans="1:12" hidden="1">
      <c r="A66" s="145">
        <v>0</v>
      </c>
      <c r="B66" s="145">
        <v>1</v>
      </c>
      <c r="C66" s="145">
        <v>0</v>
      </c>
      <c r="D66" s="146">
        <v>0</v>
      </c>
      <c r="E66" s="146">
        <v>1</v>
      </c>
      <c r="F66" s="146">
        <v>0</v>
      </c>
      <c r="G66" s="147">
        <v>1</v>
      </c>
      <c r="H66" s="147">
        <v>0</v>
      </c>
      <c r="I66" s="147">
        <v>0</v>
      </c>
      <c r="J66" s="148">
        <v>0</v>
      </c>
      <c r="K66" s="148">
        <v>1</v>
      </c>
      <c r="L66" s="148">
        <v>0</v>
      </c>
    </row>
    <row r="67" spans="1:12" hidden="1">
      <c r="A67" s="145">
        <v>0</v>
      </c>
      <c r="B67" s="145">
        <v>1</v>
      </c>
      <c r="C67" s="145">
        <v>0</v>
      </c>
      <c r="D67" s="146">
        <v>0</v>
      </c>
      <c r="E67" s="146">
        <v>1</v>
      </c>
      <c r="F67" s="146">
        <v>0</v>
      </c>
      <c r="G67" s="147">
        <v>1</v>
      </c>
      <c r="H67" s="147">
        <v>0</v>
      </c>
      <c r="I67" s="147">
        <v>0</v>
      </c>
      <c r="J67" s="148">
        <v>1</v>
      </c>
      <c r="K67" s="148">
        <v>0</v>
      </c>
      <c r="L67" s="148">
        <v>0</v>
      </c>
    </row>
    <row r="68" spans="1:12" hidden="1">
      <c r="A68" s="145">
        <v>1</v>
      </c>
      <c r="B68" s="145">
        <v>0</v>
      </c>
      <c r="C68" s="145">
        <v>0</v>
      </c>
      <c r="D68" s="146">
        <v>1</v>
      </c>
      <c r="E68" s="146">
        <v>0</v>
      </c>
      <c r="F68" s="146">
        <v>0</v>
      </c>
      <c r="G68" s="147">
        <v>0</v>
      </c>
      <c r="H68" s="147">
        <v>1</v>
      </c>
      <c r="I68" s="147">
        <v>0</v>
      </c>
      <c r="J68" s="148">
        <v>0</v>
      </c>
      <c r="K68" s="148">
        <v>1</v>
      </c>
      <c r="L68" s="148">
        <v>0</v>
      </c>
    </row>
    <row r="69" spans="1:12" hidden="1">
      <c r="A69" s="145">
        <v>0</v>
      </c>
      <c r="B69" s="145">
        <v>0</v>
      </c>
      <c r="C69" s="145">
        <v>1</v>
      </c>
      <c r="D69" s="146">
        <v>0</v>
      </c>
      <c r="E69" s="146">
        <v>0</v>
      </c>
      <c r="F69" s="146">
        <v>1</v>
      </c>
      <c r="G69" s="147">
        <v>0</v>
      </c>
      <c r="H69" s="147">
        <v>1</v>
      </c>
      <c r="I69" s="147">
        <v>0</v>
      </c>
      <c r="J69" s="148">
        <v>0</v>
      </c>
      <c r="K69" s="148">
        <v>0</v>
      </c>
      <c r="L69" s="148">
        <v>1</v>
      </c>
    </row>
    <row r="70" spans="1:12" hidden="1">
      <c r="A70" s="145">
        <v>0</v>
      </c>
      <c r="B70" s="145">
        <v>1</v>
      </c>
      <c r="C70" s="145">
        <v>0</v>
      </c>
      <c r="D70" s="146">
        <v>1</v>
      </c>
      <c r="E70" s="146">
        <v>0</v>
      </c>
      <c r="F70" s="146">
        <v>0</v>
      </c>
      <c r="G70" s="147">
        <v>0</v>
      </c>
      <c r="H70" s="147">
        <v>1</v>
      </c>
      <c r="I70" s="147">
        <v>0</v>
      </c>
      <c r="J70" s="148">
        <v>0</v>
      </c>
      <c r="K70" s="148">
        <v>1</v>
      </c>
      <c r="L70" s="148">
        <v>0</v>
      </c>
    </row>
    <row r="71" spans="1:12" hidden="1">
      <c r="A71" s="145">
        <v>0</v>
      </c>
      <c r="B71" s="145">
        <v>1</v>
      </c>
      <c r="C71" s="145">
        <v>0</v>
      </c>
      <c r="D71" s="146">
        <v>0</v>
      </c>
      <c r="E71" s="146">
        <v>1</v>
      </c>
      <c r="F71" s="146">
        <v>0</v>
      </c>
      <c r="G71" s="147">
        <v>1</v>
      </c>
      <c r="H71" s="147">
        <v>0</v>
      </c>
      <c r="I71" s="147">
        <v>0</v>
      </c>
      <c r="J71" s="148">
        <v>1</v>
      </c>
      <c r="K71" s="148">
        <v>0</v>
      </c>
      <c r="L71" s="148">
        <v>0</v>
      </c>
    </row>
    <row r="72" spans="1:12" hidden="1">
      <c r="A72" s="145">
        <v>0</v>
      </c>
      <c r="B72" s="145">
        <v>1</v>
      </c>
      <c r="C72" s="145">
        <v>0</v>
      </c>
      <c r="D72" s="146">
        <v>0</v>
      </c>
      <c r="E72" s="146">
        <v>1</v>
      </c>
      <c r="F72" s="146">
        <v>0</v>
      </c>
      <c r="G72" s="147">
        <v>0</v>
      </c>
      <c r="H72" s="147">
        <v>1</v>
      </c>
      <c r="I72" s="147">
        <v>0</v>
      </c>
      <c r="J72" s="148">
        <v>0</v>
      </c>
      <c r="K72" s="148">
        <v>1</v>
      </c>
      <c r="L72" s="148">
        <v>0</v>
      </c>
    </row>
    <row r="73" spans="1:12" hidden="1">
      <c r="A73" s="145">
        <v>0</v>
      </c>
      <c r="B73" s="145">
        <v>0</v>
      </c>
      <c r="C73" s="145">
        <v>1</v>
      </c>
      <c r="D73" s="146">
        <v>0</v>
      </c>
      <c r="E73" s="146">
        <v>1</v>
      </c>
      <c r="F73" s="146">
        <v>0</v>
      </c>
      <c r="G73" s="147">
        <v>0</v>
      </c>
      <c r="H73" s="147">
        <v>1</v>
      </c>
      <c r="I73" s="147">
        <v>0</v>
      </c>
      <c r="J73" s="148">
        <v>0</v>
      </c>
      <c r="K73" s="148">
        <v>0</v>
      </c>
      <c r="L73" s="148">
        <v>1</v>
      </c>
    </row>
    <row r="74" spans="1:12" hidden="1">
      <c r="A74" s="145">
        <v>1</v>
      </c>
      <c r="B74" s="145">
        <v>0</v>
      </c>
      <c r="C74" s="145">
        <v>0</v>
      </c>
      <c r="D74" s="146">
        <v>0</v>
      </c>
      <c r="E74" s="146">
        <v>1</v>
      </c>
      <c r="F74" s="146">
        <v>0</v>
      </c>
      <c r="G74" s="147">
        <v>1</v>
      </c>
      <c r="H74" s="147">
        <v>1</v>
      </c>
      <c r="I74" s="147">
        <v>0</v>
      </c>
      <c r="J74" s="148">
        <v>1</v>
      </c>
      <c r="K74" s="148">
        <v>0</v>
      </c>
      <c r="L74" s="148">
        <v>0</v>
      </c>
    </row>
    <row r="75" spans="1:12">
      <c r="A75" s="145">
        <v>1</v>
      </c>
      <c r="B75" s="145">
        <v>0</v>
      </c>
      <c r="C75" s="145">
        <v>0</v>
      </c>
      <c r="D75" s="146">
        <v>0</v>
      </c>
      <c r="E75" s="146">
        <v>0</v>
      </c>
      <c r="F75" s="146">
        <v>1</v>
      </c>
      <c r="G75" s="147">
        <v>0</v>
      </c>
      <c r="H75" s="147">
        <v>1</v>
      </c>
      <c r="I75" s="147">
        <v>0</v>
      </c>
      <c r="J75" s="148">
        <v>1</v>
      </c>
      <c r="K75" s="148">
        <v>0</v>
      </c>
      <c r="L75" s="148">
        <v>0</v>
      </c>
    </row>
    <row r="77" spans="1:12">
      <c r="A77" s="5" t="s">
        <v>108</v>
      </c>
    </row>
    <row r="78" spans="1:12">
      <c r="A78" s="152" t="s">
        <v>2322</v>
      </c>
      <c r="B78" s="152"/>
      <c r="C78" s="152"/>
      <c r="D78" s="152"/>
      <c r="E78" s="152"/>
      <c r="F78" s="152"/>
      <c r="G78" s="152"/>
      <c r="H78" s="152"/>
      <c r="I78" s="152"/>
    </row>
    <row r="79" spans="1:12">
      <c r="A79" s="152"/>
      <c r="B79" s="152"/>
      <c r="C79" s="152"/>
      <c r="D79" s="152"/>
      <c r="E79" s="152"/>
      <c r="F79" s="152"/>
      <c r="G79" s="152"/>
      <c r="H79" s="152"/>
      <c r="I79" s="152"/>
    </row>
    <row r="80" spans="1:12">
      <c r="A80" s="152"/>
      <c r="B80" s="152"/>
      <c r="C80" s="152"/>
      <c r="D80" s="152"/>
      <c r="E80" s="152"/>
      <c r="F80" s="152"/>
      <c r="G80" s="152"/>
      <c r="H80" s="152"/>
      <c r="I80" s="152"/>
    </row>
    <row r="81" spans="1:9">
      <c r="A81" s="152"/>
      <c r="B81" s="152"/>
      <c r="C81" s="152"/>
      <c r="D81" s="152"/>
      <c r="E81" s="152"/>
      <c r="F81" s="152"/>
      <c r="G81" s="152"/>
      <c r="H81" s="152"/>
      <c r="I81" s="152"/>
    </row>
    <row r="82" spans="1:9">
      <c r="A82" s="152"/>
      <c r="B82" s="152"/>
      <c r="C82" s="152"/>
      <c r="D82" s="152"/>
      <c r="E82" s="152"/>
      <c r="F82" s="152"/>
      <c r="G82" s="152"/>
      <c r="H82" s="152"/>
      <c r="I82" s="152"/>
    </row>
    <row r="83" spans="1:9">
      <c r="A83" s="152"/>
      <c r="B83" s="152"/>
      <c r="C83" s="152"/>
      <c r="D83" s="152"/>
      <c r="E83" s="152"/>
      <c r="F83" s="152"/>
      <c r="G83" s="152"/>
      <c r="H83" s="152"/>
      <c r="I83" s="152"/>
    </row>
    <row r="84" spans="1:9">
      <c r="A84" s="152"/>
      <c r="B84" s="152"/>
      <c r="C84" s="152"/>
      <c r="D84" s="152"/>
      <c r="E84" s="152"/>
      <c r="F84" s="152"/>
      <c r="G84" s="152"/>
      <c r="H84" s="152"/>
      <c r="I84" s="152"/>
    </row>
    <row r="85" spans="1:9">
      <c r="A85" s="152"/>
      <c r="B85" s="152"/>
      <c r="C85" s="152"/>
      <c r="D85" s="152"/>
      <c r="E85" s="152"/>
      <c r="F85" s="152"/>
      <c r="G85" s="152"/>
      <c r="H85" s="152"/>
      <c r="I85" s="152"/>
    </row>
    <row r="86" spans="1:9">
      <c r="A86" s="152"/>
      <c r="B86" s="152"/>
      <c r="C86" s="152"/>
      <c r="D86" s="152"/>
      <c r="E86" s="152"/>
      <c r="F86" s="152"/>
      <c r="G86" s="152"/>
      <c r="H86" s="152"/>
      <c r="I86" s="152"/>
    </row>
    <row r="87" spans="1:9">
      <c r="A87" s="152"/>
      <c r="B87" s="152"/>
      <c r="C87" s="152"/>
      <c r="D87" s="152"/>
      <c r="E87" s="152"/>
      <c r="F87" s="152"/>
      <c r="G87" s="152"/>
      <c r="H87" s="152"/>
      <c r="I87" s="152"/>
    </row>
    <row r="88" spans="1:9">
      <c r="A88" s="152"/>
      <c r="B88" s="152"/>
      <c r="C88" s="152"/>
      <c r="D88" s="152"/>
      <c r="E88" s="152"/>
      <c r="F88" s="152"/>
      <c r="G88" s="152"/>
      <c r="H88" s="152"/>
      <c r="I88" s="152"/>
    </row>
    <row r="90" spans="1:9">
      <c r="A90" s="5" t="s">
        <v>109</v>
      </c>
    </row>
    <row r="91" spans="1:9">
      <c r="A91" s="152" t="s">
        <v>2323</v>
      </c>
      <c r="B91" s="152"/>
      <c r="C91" s="152"/>
      <c r="D91" s="152"/>
      <c r="E91" s="152"/>
      <c r="F91" s="152"/>
      <c r="G91" s="152"/>
      <c r="H91" s="152"/>
      <c r="I91" s="152"/>
    </row>
    <row r="92" spans="1:9">
      <c r="A92" s="152"/>
      <c r="B92" s="152"/>
      <c r="C92" s="152"/>
      <c r="D92" s="152"/>
      <c r="E92" s="152"/>
      <c r="F92" s="152"/>
      <c r="G92" s="152"/>
      <c r="H92" s="152"/>
      <c r="I92" s="152"/>
    </row>
    <row r="93" spans="1:9">
      <c r="A93" s="152"/>
      <c r="B93" s="152"/>
      <c r="C93" s="152"/>
      <c r="D93" s="152"/>
      <c r="E93" s="152"/>
      <c r="F93" s="152"/>
      <c r="G93" s="152"/>
      <c r="H93" s="152"/>
      <c r="I93" s="152"/>
    </row>
    <row r="94" spans="1:9">
      <c r="A94" s="152"/>
      <c r="B94" s="152"/>
      <c r="C94" s="152"/>
      <c r="D94" s="152"/>
      <c r="E94" s="152"/>
      <c r="F94" s="152"/>
      <c r="G94" s="152"/>
      <c r="H94" s="152"/>
      <c r="I94" s="152"/>
    </row>
    <row r="95" spans="1:9">
      <c r="A95" s="152"/>
      <c r="B95" s="152"/>
      <c r="C95" s="152"/>
      <c r="D95" s="152"/>
      <c r="E95" s="152"/>
      <c r="F95" s="152"/>
      <c r="G95" s="152"/>
      <c r="H95" s="152"/>
      <c r="I95" s="152"/>
    </row>
    <row r="96" spans="1:9">
      <c r="A96" s="152"/>
      <c r="B96" s="152"/>
      <c r="C96" s="152"/>
      <c r="D96" s="152"/>
      <c r="E96" s="152"/>
      <c r="F96" s="152"/>
      <c r="G96" s="152"/>
      <c r="H96" s="152"/>
      <c r="I96" s="152"/>
    </row>
    <row r="97" spans="1:9">
      <c r="A97" s="152"/>
      <c r="B97" s="152"/>
      <c r="C97" s="152"/>
      <c r="D97" s="152"/>
      <c r="E97" s="152"/>
      <c r="F97" s="152"/>
      <c r="G97" s="152"/>
      <c r="H97" s="152"/>
      <c r="I97" s="152"/>
    </row>
    <row r="99" spans="1:9">
      <c r="A99" s="5" t="s">
        <v>111</v>
      </c>
    </row>
    <row r="101" spans="1:9">
      <c r="G101" s="149"/>
    </row>
    <row r="102" spans="1:9">
      <c r="G102" s="149"/>
    </row>
    <row r="103" spans="1:9">
      <c r="G103" s="149"/>
    </row>
    <row r="104" spans="1:9">
      <c r="A104" s="152" t="s">
        <v>2321</v>
      </c>
      <c r="B104" s="152"/>
      <c r="C104" s="152"/>
      <c r="D104" s="152"/>
      <c r="E104" s="152"/>
      <c r="F104" s="152"/>
      <c r="G104" s="152"/>
      <c r="H104" s="152"/>
      <c r="I104" s="152"/>
    </row>
    <row r="105" spans="1:9">
      <c r="A105" s="152"/>
      <c r="B105" s="152"/>
      <c r="C105" s="152"/>
      <c r="D105" s="152"/>
      <c r="E105" s="152"/>
      <c r="F105" s="152"/>
      <c r="G105" s="152"/>
      <c r="H105" s="152"/>
      <c r="I105" s="152"/>
    </row>
    <row r="106" spans="1:9">
      <c r="A106" s="152"/>
      <c r="B106" s="152"/>
      <c r="C106" s="152"/>
      <c r="D106" s="152"/>
      <c r="E106" s="152"/>
      <c r="F106" s="152"/>
      <c r="G106" s="152"/>
      <c r="H106" s="152"/>
      <c r="I106" s="152"/>
    </row>
    <row r="107" spans="1:9">
      <c r="A107" s="152"/>
      <c r="B107" s="152"/>
      <c r="C107" s="152"/>
      <c r="D107" s="152"/>
      <c r="E107" s="152"/>
      <c r="F107" s="152"/>
      <c r="G107" s="152"/>
      <c r="H107" s="152"/>
      <c r="I107" s="152"/>
    </row>
    <row r="108" spans="1:9">
      <c r="A108" s="152"/>
      <c r="B108" s="152"/>
      <c r="C108" s="152"/>
      <c r="D108" s="152"/>
      <c r="E108" s="152"/>
      <c r="F108" s="152"/>
      <c r="G108" s="152"/>
      <c r="H108" s="152"/>
      <c r="I108" s="152"/>
    </row>
    <row r="109" spans="1:9">
      <c r="A109" s="152"/>
      <c r="B109" s="152"/>
      <c r="C109" s="152"/>
      <c r="D109" s="152"/>
      <c r="E109" s="152"/>
      <c r="F109" s="152"/>
      <c r="G109" s="152"/>
      <c r="H109" s="152"/>
      <c r="I109" s="152"/>
    </row>
    <row r="110" spans="1:9">
      <c r="A110" s="152"/>
      <c r="B110" s="152"/>
      <c r="C110" s="152"/>
      <c r="D110" s="152"/>
      <c r="E110" s="152"/>
      <c r="F110" s="152"/>
      <c r="G110" s="152"/>
      <c r="H110" s="152"/>
      <c r="I110" s="152"/>
    </row>
    <row r="111" spans="1:9">
      <c r="A111" s="152"/>
      <c r="B111" s="152"/>
      <c r="C111" s="152"/>
      <c r="D111" s="152"/>
      <c r="E111" s="152"/>
      <c r="F111" s="152"/>
      <c r="G111" s="152"/>
      <c r="H111" s="152"/>
      <c r="I111" s="152"/>
    </row>
    <row r="112" spans="1:9">
      <c r="A112" s="152"/>
      <c r="B112" s="152"/>
      <c r="C112" s="152"/>
      <c r="D112" s="152"/>
      <c r="E112" s="152"/>
      <c r="F112" s="152"/>
      <c r="G112" s="152"/>
      <c r="H112" s="152"/>
      <c r="I112" s="152"/>
    </row>
    <row r="113" spans="1:9">
      <c r="A113" s="152"/>
      <c r="B113" s="152"/>
      <c r="C113" s="152"/>
      <c r="D113" s="152"/>
      <c r="E113" s="152"/>
      <c r="F113" s="152"/>
      <c r="G113" s="152"/>
      <c r="H113" s="152"/>
      <c r="I113" s="152"/>
    </row>
    <row r="114" spans="1:9">
      <c r="A114" s="152"/>
      <c r="B114" s="152"/>
      <c r="C114" s="152"/>
      <c r="D114" s="152"/>
      <c r="E114" s="152"/>
      <c r="F114" s="152"/>
      <c r="G114" s="152"/>
      <c r="H114" s="152"/>
      <c r="I114" s="152"/>
    </row>
    <row r="115" spans="1:9">
      <c r="A115" s="152"/>
      <c r="B115" s="152"/>
      <c r="C115" s="152"/>
      <c r="D115" s="152"/>
      <c r="E115" s="152"/>
      <c r="F115" s="152"/>
      <c r="G115" s="152"/>
      <c r="H115" s="152"/>
      <c r="I115" s="152"/>
    </row>
    <row r="116" spans="1:9">
      <c r="A116" s="152"/>
      <c r="B116" s="152"/>
      <c r="C116" s="152"/>
      <c r="D116" s="152"/>
      <c r="E116" s="152"/>
      <c r="F116" s="152"/>
      <c r="G116" s="152"/>
      <c r="H116" s="152"/>
      <c r="I116" s="152"/>
    </row>
    <row r="117" spans="1:9">
      <c r="A117" s="152"/>
      <c r="B117" s="152"/>
      <c r="C117" s="152"/>
      <c r="D117" s="152"/>
      <c r="E117" s="152"/>
      <c r="F117" s="152"/>
      <c r="G117" s="152"/>
      <c r="H117" s="152"/>
      <c r="I117" s="152"/>
    </row>
    <row r="118" spans="1:9">
      <c r="A118" s="152"/>
      <c r="B118" s="152"/>
      <c r="C118" s="152"/>
      <c r="D118" s="152"/>
      <c r="E118" s="152"/>
      <c r="F118" s="152"/>
      <c r="G118" s="152"/>
      <c r="H118" s="152"/>
      <c r="I118" s="152"/>
    </row>
    <row r="119" spans="1:9">
      <c r="A119" s="152"/>
      <c r="B119" s="152"/>
      <c r="C119" s="152"/>
      <c r="D119" s="152"/>
      <c r="E119" s="152"/>
      <c r="F119" s="152"/>
      <c r="G119" s="152"/>
      <c r="H119" s="152"/>
      <c r="I119" s="152"/>
    </row>
  </sheetData>
  <mergeCells count="7">
    <mergeCell ref="J6:L6"/>
    <mergeCell ref="A78:I88"/>
    <mergeCell ref="A91:I97"/>
    <mergeCell ref="A104:I119"/>
    <mergeCell ref="A6:C6"/>
    <mergeCell ref="D6:F6"/>
    <mergeCell ref="G6:I6"/>
  </mergeCells>
  <phoneticPr fontId="10"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B14C4-1608-4EA2-AA97-2172511B32D4}">
  <dimension ref="A1:B12"/>
  <sheetViews>
    <sheetView workbookViewId="0">
      <selection sqref="A1:J13"/>
    </sheetView>
  </sheetViews>
  <sheetFormatPr defaultRowHeight="15"/>
  <sheetData>
    <row r="1" spans="1:2">
      <c r="A1" s="22" t="s">
        <v>38</v>
      </c>
      <c r="B1" s="22" t="s">
        <v>40</v>
      </c>
    </row>
    <row r="2" spans="1:2">
      <c r="A2">
        <v>500</v>
      </c>
      <c r="B2">
        <v>6</v>
      </c>
    </row>
    <row r="3" spans="1:2">
      <c r="A3">
        <v>1000</v>
      </c>
      <c r="B3">
        <v>2</v>
      </c>
    </row>
    <row r="4" spans="1:2">
      <c r="A4">
        <v>5000</v>
      </c>
      <c r="B4">
        <v>18</v>
      </c>
    </row>
    <row r="5" spans="1:2">
      <c r="A5">
        <v>10000</v>
      </c>
      <c r="B5">
        <v>6</v>
      </c>
    </row>
    <row r="6" spans="1:2">
      <c r="A6">
        <v>20000</v>
      </c>
      <c r="B6">
        <v>6</v>
      </c>
    </row>
    <row r="7" spans="1:2">
      <c r="A7">
        <v>30000</v>
      </c>
      <c r="B7">
        <v>5</v>
      </c>
    </row>
    <row r="8" spans="1:2">
      <c r="A8">
        <v>40000</v>
      </c>
      <c r="B8">
        <v>6</v>
      </c>
    </row>
    <row r="9" spans="1:2">
      <c r="A9">
        <v>50000</v>
      </c>
      <c r="B9">
        <v>1</v>
      </c>
    </row>
    <row r="10" spans="1:2">
      <c r="A10">
        <v>100000</v>
      </c>
      <c r="B10">
        <v>6</v>
      </c>
    </row>
    <row r="11" spans="1:2">
      <c r="A11">
        <v>200000</v>
      </c>
      <c r="B11">
        <v>4</v>
      </c>
    </row>
    <row r="12" spans="1:2" ht="15.75" thickBot="1">
      <c r="A12" s="21" t="s">
        <v>39</v>
      </c>
      <c r="B12" s="21">
        <v>0</v>
      </c>
    </row>
  </sheetData>
  <sortState xmlns:xlrd2="http://schemas.microsoft.com/office/spreadsheetml/2017/richdata2" ref="A2:A11">
    <sortCondition ref="A2"/>
  </sortState>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6F7EC-1498-4DF4-B8B4-BEF0FE62C400}">
  <dimension ref="A1:B8"/>
  <sheetViews>
    <sheetView workbookViewId="0">
      <selection activeCell="F24" sqref="F24"/>
    </sheetView>
  </sheetViews>
  <sheetFormatPr defaultRowHeight="15"/>
  <sheetData>
    <row r="1" spans="1:2">
      <c r="A1" s="22" t="s">
        <v>38</v>
      </c>
      <c r="B1" s="22" t="s">
        <v>40</v>
      </c>
    </row>
    <row r="2" spans="1:2">
      <c r="A2">
        <v>500</v>
      </c>
      <c r="B2">
        <v>18</v>
      </c>
    </row>
    <row r="3" spans="1:2">
      <c r="A3">
        <v>1000</v>
      </c>
      <c r="B3">
        <v>8</v>
      </c>
    </row>
    <row r="4" spans="1:2">
      <c r="A4">
        <v>5000</v>
      </c>
      <c r="B4">
        <v>15</v>
      </c>
    </row>
    <row r="5" spans="1:2">
      <c r="A5">
        <v>10000</v>
      </c>
      <c r="B5">
        <v>10</v>
      </c>
    </row>
    <row r="6" spans="1:2">
      <c r="A6">
        <v>20000</v>
      </c>
      <c r="B6">
        <v>7</v>
      </c>
    </row>
    <row r="7" spans="1:2">
      <c r="A7">
        <v>30000</v>
      </c>
      <c r="B7">
        <v>2</v>
      </c>
    </row>
    <row r="8" spans="1:2" ht="15.75" thickBot="1">
      <c r="A8" s="21" t="s">
        <v>39</v>
      </c>
      <c r="B8" s="21">
        <v>0</v>
      </c>
    </row>
  </sheetData>
  <sortState xmlns:xlrd2="http://schemas.microsoft.com/office/spreadsheetml/2017/richdata2" ref="A2:A7">
    <sortCondition ref="A2"/>
  </sortState>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4233C-AC67-4D9B-B69A-9FC91492092E}">
  <dimension ref="A1:B10"/>
  <sheetViews>
    <sheetView zoomScale="97" zoomScaleNormal="55" workbookViewId="0">
      <selection activeCell="L18" sqref="L18"/>
    </sheetView>
  </sheetViews>
  <sheetFormatPr defaultRowHeight="15"/>
  <sheetData>
    <row r="1" spans="1:2">
      <c r="A1" s="22" t="s">
        <v>38</v>
      </c>
      <c r="B1" s="22" t="s">
        <v>40</v>
      </c>
    </row>
    <row r="2" spans="1:2">
      <c r="A2">
        <v>170</v>
      </c>
      <c r="B2">
        <v>1</v>
      </c>
    </row>
    <row r="3" spans="1:2">
      <c r="A3">
        <v>25731.571428571428</v>
      </c>
      <c r="B3">
        <v>38</v>
      </c>
    </row>
    <row r="4" spans="1:2">
      <c r="A4">
        <v>51293.142857142855</v>
      </c>
      <c r="B4">
        <v>11</v>
      </c>
    </row>
    <row r="5" spans="1:2">
      <c r="A5">
        <v>76854.71428571429</v>
      </c>
      <c r="B5">
        <v>4</v>
      </c>
    </row>
    <row r="6" spans="1:2">
      <c r="A6">
        <v>102416.28571428571</v>
      </c>
      <c r="B6">
        <v>2</v>
      </c>
    </row>
    <row r="7" spans="1:2">
      <c r="A7">
        <v>127977.85714285713</v>
      </c>
      <c r="B7">
        <v>3</v>
      </c>
    </row>
    <row r="8" spans="1:2">
      <c r="A8">
        <v>153539.42857142858</v>
      </c>
      <c r="B8">
        <v>0</v>
      </c>
    </row>
    <row r="9" spans="1:2" ht="15.75" thickBot="1">
      <c r="A9" s="21" t="s">
        <v>39</v>
      </c>
      <c r="B9" s="21">
        <v>1</v>
      </c>
    </row>
    <row r="10" spans="1:2">
      <c r="B10">
        <f>SUM(B2:B9)</f>
        <v>60</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E8713-E326-4A02-9D9A-F0E19AB7AD96}">
  <dimension ref="A1:B9"/>
  <sheetViews>
    <sheetView workbookViewId="0">
      <selection sqref="A1:K13"/>
    </sheetView>
  </sheetViews>
  <sheetFormatPr defaultRowHeight="15"/>
  <sheetData>
    <row r="1" spans="1:2">
      <c r="A1" s="22" t="s">
        <v>38</v>
      </c>
      <c r="B1" s="22" t="s">
        <v>40</v>
      </c>
    </row>
    <row r="2" spans="1:2">
      <c r="A2">
        <v>40.6</v>
      </c>
      <c r="B2">
        <v>1</v>
      </c>
    </row>
    <row r="3" spans="1:2">
      <c r="A3">
        <v>3660.42</v>
      </c>
      <c r="B3">
        <v>39</v>
      </c>
    </row>
    <row r="4" spans="1:2">
      <c r="A4">
        <v>7280.2400000000007</v>
      </c>
      <c r="B4">
        <v>8</v>
      </c>
    </row>
    <row r="5" spans="1:2">
      <c r="A5">
        <v>10900.060000000001</v>
      </c>
      <c r="B5">
        <v>3</v>
      </c>
    </row>
    <row r="6" spans="1:2">
      <c r="A6">
        <v>14519.880000000001</v>
      </c>
      <c r="B6">
        <v>5</v>
      </c>
    </row>
    <row r="7" spans="1:2">
      <c r="A7">
        <v>18139.7</v>
      </c>
      <c r="B7">
        <v>2</v>
      </c>
    </row>
    <row r="8" spans="1:2">
      <c r="A8">
        <v>21759.52</v>
      </c>
      <c r="B8">
        <v>0</v>
      </c>
    </row>
    <row r="9" spans="1:2" ht="15.75" thickBot="1">
      <c r="A9" s="21" t="s">
        <v>39</v>
      </c>
      <c r="B9" s="21">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Task1</vt:lpstr>
      <vt:lpstr>Task2</vt:lpstr>
      <vt:lpstr>Task3</vt:lpstr>
      <vt:lpstr>Task4 PivotTable</vt:lpstr>
      <vt:lpstr>Task4</vt:lpstr>
      <vt:lpstr>Task5</vt:lpstr>
      <vt:lpstr>Task6</vt:lpstr>
      <vt:lpstr>Task7a</vt:lpstr>
      <vt:lpstr>Task7b</vt:lpstr>
      <vt:lpstr>Task7c</vt:lpstr>
      <vt:lpstr>Task7</vt:lpstr>
      <vt:lpstr>Task8</vt:lpstr>
      <vt:lpstr>Task9</vt:lpstr>
      <vt:lpstr>Task10</vt:lpstr>
      <vt:lpstr>Task11</vt:lpstr>
      <vt:lpstr>Task12</vt:lpstr>
      <vt:lpstr>Task13</vt:lpstr>
      <vt:lpstr>Task14</vt:lpstr>
      <vt:lpstr>Task15</vt:lpstr>
      <vt:lpstr>Task16</vt:lpstr>
      <vt:lpstr>Task3 Gross sales</vt:lpstr>
      <vt:lpstr>Task3 Gross profit</vt:lpstr>
      <vt:lpstr>Task3 Automated Gross sales</vt:lpstr>
      <vt:lpstr>Task3 Automated Gross 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 Christian Aanestad</dc:creator>
  <cp:lastModifiedBy>Jens Christian Aanestad</cp:lastModifiedBy>
  <dcterms:created xsi:type="dcterms:W3CDTF">2015-06-05T18:17:20Z</dcterms:created>
  <dcterms:modified xsi:type="dcterms:W3CDTF">2024-11-18T16:20:12Z</dcterms:modified>
</cp:coreProperties>
</file>